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3FA82CE5-92FD-4772-9899-25A7457AB976}" xr6:coauthVersionLast="47" xr6:coauthVersionMax="47" xr10:uidLastSave="{00000000-0000-0000-0000-000000000000}"/>
  <bookViews>
    <workbookView xWindow="15" yWindow="15" windowWidth="20445" windowHeight="10890" activeTab="2" xr2:uid="{00000000-000D-0000-FFFF-FFFF00000000}"/>
  </bookViews>
  <sheets>
    <sheet name="pivot tables" sheetId="3" r:id="rId1"/>
    <sheet name="Class" sheetId="2" r:id="rId2"/>
    <sheet name="Dashboard" sheetId="6" r:id="rId3"/>
  </sheets>
  <definedNames>
    <definedName name="_xlcn.WorksheetConnection_ClassA3I93" hidden="1">Class!$A$3:$I$93</definedName>
    <definedName name="Slicer_Date__Month">#N/A</definedName>
    <definedName name="Slicer_Product">#N/A</definedName>
    <definedName name="Slicer_Salespers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lass!$A$3:$I$93"/>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93" i="2" l="1"/>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680B64-234B-461D-BE16-DFC9483A27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5B0DD70-9377-4BD5-979E-3E9C75F631E2}" name="WorksheetConnection_Class!$A$3:$I$93" type="102" refreshedVersion="7" minRefreshableVersion="5">
    <extLst>
      <ext xmlns:x15="http://schemas.microsoft.com/office/spreadsheetml/2010/11/main" uri="{DE250136-89BD-433C-8126-D09CA5730AF9}">
        <x15:connection id="Range" autoDelete="1">
          <x15:rangePr sourceName="_xlcn.WorksheetConnection_ClassA3I93"/>
        </x15:connection>
      </ext>
    </extLst>
  </connection>
</connections>
</file>

<file path=xl/sharedStrings.xml><?xml version="1.0" encoding="utf-8"?>
<sst xmlns="http://schemas.openxmlformats.org/spreadsheetml/2006/main" count="385" uniqueCount="79">
  <si>
    <t>Dashboard</t>
  </si>
  <si>
    <r>
      <rPr>
        <b/>
        <sz val="20"/>
        <color rgb="FFFFC000"/>
        <rFont val="Arial Black"/>
        <family val="2"/>
      </rPr>
      <t>Trainer:</t>
    </r>
    <r>
      <rPr>
        <b/>
        <sz val="28"/>
        <color rgb="FFFFC000"/>
        <rFont val="Arial Black"/>
        <family val="2"/>
      </rPr>
      <t xml:space="preserve"> </t>
    </r>
    <r>
      <rPr>
        <b/>
        <sz val="28"/>
        <color theme="0"/>
        <rFont val="Arial Black"/>
        <family val="2"/>
      </rPr>
      <t xml:space="preserve">
Narendra</t>
    </r>
  </si>
  <si>
    <t>Date</t>
  </si>
  <si>
    <t>Region</t>
  </si>
  <si>
    <t>Salesperson</t>
  </si>
  <si>
    <t>Product</t>
  </si>
  <si>
    <t>Quantity Sold</t>
  </si>
  <si>
    <t>Sales Amount</t>
  </si>
  <si>
    <t>Discount (%)</t>
  </si>
  <si>
    <t>Profit Margin (%)</t>
  </si>
  <si>
    <t>Total Sales Amount</t>
  </si>
  <si>
    <t>Dashboard Questions &amp; Visualization Suggestions</t>
  </si>
  <si>
    <t>East</t>
  </si>
  <si>
    <t>Arun Kumar</t>
  </si>
  <si>
    <t>Product X</t>
  </si>
  <si>
    <t>West</t>
  </si>
  <si>
    <t>Priya Sharma</t>
  </si>
  <si>
    <t>Product Y</t>
  </si>
  <si>
    <t>1. Date</t>
  </si>
  <si>
    <t>North</t>
  </si>
  <si>
    <t>Rajesh Patel</t>
  </si>
  <si>
    <r>
      <t>What to Do</t>
    </r>
    <r>
      <rPr>
        <sz val="11"/>
        <color theme="1"/>
        <rFont val="Calibri"/>
        <family val="2"/>
        <scheme val="minor"/>
      </rPr>
      <t>: Analyze sales trends over time.</t>
    </r>
  </si>
  <si>
    <t>South</t>
  </si>
  <si>
    <t>Meera Reddy</t>
  </si>
  <si>
    <t>Product Z</t>
  </si>
  <si>
    <r>
      <t>Visualizations</t>
    </r>
    <r>
      <rPr>
        <sz val="11"/>
        <color theme="1"/>
        <rFont val="Calibri"/>
        <family val="2"/>
        <scheme val="minor"/>
      </rPr>
      <t>: Line chart - Quantity Sold,  Area chart - showing Sales Amount over the dates.</t>
    </r>
  </si>
  <si>
    <t>2. Region</t>
  </si>
  <si>
    <r>
      <t>What to Do</t>
    </r>
    <r>
      <rPr>
        <sz val="11"/>
        <color theme="1"/>
        <rFont val="Calibri"/>
        <family val="2"/>
        <scheme val="minor"/>
      </rPr>
      <t>: Compare sales performance across different regions.</t>
    </r>
  </si>
  <si>
    <r>
      <t>Visualizations</t>
    </r>
    <r>
      <rPr>
        <sz val="11"/>
        <color theme="1"/>
        <rFont val="Calibri"/>
        <family val="2"/>
        <scheme val="minor"/>
      </rPr>
      <t>: Bar chart - Total Sales Amount, pie chart - Quantity Sold, by Region.</t>
    </r>
  </si>
  <si>
    <t>3. Salesperson</t>
  </si>
  <si>
    <r>
      <t>What to Do</t>
    </r>
    <r>
      <rPr>
        <sz val="11"/>
        <color theme="1"/>
        <rFont val="Calibri"/>
        <family val="2"/>
        <scheme val="minor"/>
      </rPr>
      <t>: Evaluate performance of each salesperson.</t>
    </r>
  </si>
  <si>
    <r>
      <t>Visualizations</t>
    </r>
    <r>
      <rPr>
        <sz val="11"/>
        <color theme="1"/>
        <rFont val="Calibri"/>
        <family val="2"/>
        <scheme val="minor"/>
      </rPr>
      <t>: Bar chart - Profit Margin by Salesperson.</t>
    </r>
  </si>
  <si>
    <t>4. Product</t>
  </si>
  <si>
    <r>
      <t>What to Do</t>
    </r>
    <r>
      <rPr>
        <sz val="11"/>
        <color theme="1"/>
        <rFont val="Calibri"/>
        <family val="2"/>
        <scheme val="minor"/>
      </rPr>
      <t>: Understand sales distribution by product type.</t>
    </r>
  </si>
  <si>
    <r>
      <t>Visualizations</t>
    </r>
    <r>
      <rPr>
        <sz val="11"/>
        <color theme="1"/>
        <rFont val="Calibri"/>
        <family val="2"/>
        <scheme val="minor"/>
      </rPr>
      <t>: Stacked bar chart - Sales Amount, pie chart - Quantity Sold by Product.</t>
    </r>
  </si>
  <si>
    <t>5. Quantity Sold</t>
  </si>
  <si>
    <r>
      <t>What to Do</t>
    </r>
    <r>
      <rPr>
        <sz val="11"/>
        <color theme="1"/>
        <rFont val="Calibri"/>
        <family val="2"/>
        <scheme val="minor"/>
      </rPr>
      <t>: Track sales volume trends and performance.</t>
    </r>
  </si>
  <si>
    <r>
      <t>Visualizations</t>
    </r>
    <r>
      <rPr>
        <sz val="11"/>
        <color theme="1"/>
        <rFont val="Calibri"/>
        <family val="2"/>
        <scheme val="minor"/>
      </rPr>
      <t>: Line chart - Quantity Sold over time by Region.</t>
    </r>
  </si>
  <si>
    <t>6. Sales Amount</t>
  </si>
  <si>
    <r>
      <t>Visualizations</t>
    </r>
    <r>
      <rPr>
        <sz val="11"/>
        <color theme="1"/>
        <rFont val="Calibri"/>
        <family val="2"/>
        <scheme val="minor"/>
      </rPr>
      <t>: Bar chart - Sales Amount over time, bar chart by Product.</t>
    </r>
  </si>
  <si>
    <t>7. Discount (%)</t>
  </si>
  <si>
    <r>
      <t>What to Do</t>
    </r>
    <r>
      <rPr>
        <sz val="11"/>
        <color theme="1"/>
        <rFont val="Calibri"/>
        <family val="2"/>
        <scheme val="minor"/>
      </rPr>
      <t>: Analyze the impact of discounts on sales.</t>
    </r>
  </si>
  <si>
    <r>
      <t>Visualizations</t>
    </r>
    <r>
      <rPr>
        <sz val="11"/>
        <color theme="1"/>
        <rFont val="Calibri"/>
        <family val="2"/>
        <scheme val="minor"/>
      </rPr>
      <t>: Scatter plot showing Discount (%) vs. Sales Amount</t>
    </r>
  </si>
  <si>
    <t>8. Profit Margin (%)</t>
  </si>
  <si>
    <r>
      <t>What to Do</t>
    </r>
    <r>
      <rPr>
        <sz val="11"/>
        <color theme="1"/>
        <rFont val="Calibri"/>
        <family val="2"/>
        <scheme val="minor"/>
      </rPr>
      <t>: Monitor profitability and its trends.</t>
    </r>
  </si>
  <si>
    <r>
      <t>Visualizations</t>
    </r>
    <r>
      <rPr>
        <sz val="11"/>
        <color theme="1"/>
        <rFont val="Calibri"/>
        <family val="2"/>
        <scheme val="minor"/>
      </rPr>
      <t>: Line chart or bar chart showing Profit Margin trends over time or by Product.</t>
    </r>
  </si>
  <si>
    <t>Additional Columns for Calculation</t>
  </si>
  <si>
    <t>1. Total Sales (Calculated Column)</t>
  </si>
  <si>
    <r>
      <t>Formula</t>
    </r>
    <r>
      <rPr>
        <sz val="11"/>
        <color theme="1"/>
        <rFont val="Calibri"/>
        <family val="2"/>
        <scheme val="minor"/>
      </rPr>
      <t xml:space="preserve">: </t>
    </r>
    <r>
      <rPr>
        <sz val="10"/>
        <color theme="1"/>
        <rFont val="Arial Unicode MS"/>
      </rPr>
      <t>=Quantity Sold * Sales Amount</t>
    </r>
  </si>
  <si>
    <r>
      <t>Use</t>
    </r>
    <r>
      <rPr>
        <sz val="11"/>
        <color theme="1"/>
        <rFont val="Calibri"/>
        <family val="2"/>
        <scheme val="minor"/>
      </rPr>
      <t>: To analyze total revenue generated for each entry.</t>
    </r>
  </si>
  <si>
    <t>2. Profit Amount (Calculated Column)</t>
  </si>
  <si>
    <r>
      <t>Formula</t>
    </r>
    <r>
      <rPr>
        <sz val="11"/>
        <color theme="1"/>
        <rFont val="Calibri"/>
        <family val="2"/>
        <scheme val="minor"/>
      </rPr>
      <t xml:space="preserve">: </t>
    </r>
    <r>
      <rPr>
        <sz val="10"/>
        <color theme="1"/>
        <rFont val="Arial Unicode MS"/>
      </rPr>
      <t>=Sales Amount * (Profit Margin (%) / 100)</t>
    </r>
  </si>
  <si>
    <r>
      <t>Use</t>
    </r>
    <r>
      <rPr>
        <sz val="11"/>
        <color theme="1"/>
        <rFont val="Calibri"/>
        <family val="2"/>
        <scheme val="minor"/>
      </rPr>
      <t>: To determine the actual profit for each sale.</t>
    </r>
  </si>
  <si>
    <t>3. Net Sales Amount (Calculated Column)</t>
  </si>
  <si>
    <r>
      <t>Formula</t>
    </r>
    <r>
      <rPr>
        <sz val="11"/>
        <color theme="1"/>
        <rFont val="Calibri"/>
        <family val="2"/>
        <scheme val="minor"/>
      </rPr>
      <t xml:space="preserve">: </t>
    </r>
    <r>
      <rPr>
        <sz val="10"/>
        <color theme="1"/>
        <rFont val="Arial Unicode MS"/>
      </rPr>
      <t>=Sales Amount - (Sales Amount * (Discount (%) / 100))</t>
    </r>
  </si>
  <si>
    <r>
      <t>Use</t>
    </r>
    <r>
      <rPr>
        <sz val="11"/>
        <color theme="1"/>
        <rFont val="Calibri"/>
        <family val="2"/>
        <scheme val="minor"/>
      </rPr>
      <t>: To account for discounts and analyze net revenue.</t>
    </r>
  </si>
  <si>
    <t>4. Profit after Discount (Calculated Column)</t>
  </si>
  <si>
    <r>
      <t>Formula</t>
    </r>
    <r>
      <rPr>
        <sz val="11"/>
        <color theme="1"/>
        <rFont val="Calibri"/>
        <family val="2"/>
        <scheme val="minor"/>
      </rPr>
      <t xml:space="preserve">: </t>
    </r>
    <r>
      <rPr>
        <sz val="10"/>
        <color theme="1"/>
        <rFont val="Arial Unicode MS"/>
      </rPr>
      <t>=Net Sales Amount * (Profit Margin (%) / 100)</t>
    </r>
  </si>
  <si>
    <r>
      <t>Use</t>
    </r>
    <r>
      <rPr>
        <sz val="11"/>
        <color theme="1"/>
        <rFont val="Calibri"/>
        <family val="2"/>
        <scheme val="minor"/>
      </rPr>
      <t>: To find out the profit considering the discount applied.</t>
    </r>
  </si>
  <si>
    <t>How to Implement</t>
  </si>
  <si>
    <r>
      <t>1. Create Tables</t>
    </r>
    <r>
      <rPr>
        <sz val="11"/>
        <color theme="1"/>
        <rFont val="Calibri"/>
        <family val="2"/>
        <scheme val="minor"/>
      </rPr>
      <t>: Input the data into an Excel worksheet, ensuring each column is clearly labeled.</t>
    </r>
  </si>
  <si>
    <r>
      <t>2. Add Calculated Columns</t>
    </r>
    <r>
      <rPr>
        <sz val="11"/>
        <color theme="1"/>
        <rFont val="Calibri"/>
        <family val="2"/>
        <scheme val="minor"/>
      </rPr>
      <t>: Insert additional columns and apply the formulas to compute Total Sales, Profit Amount, Net Sales Amount, and Profit after Discount.</t>
    </r>
  </si>
  <si>
    <r>
      <t>3. Insert Visualizations</t>
    </r>
    <r>
      <rPr>
        <sz val="11"/>
        <color theme="1"/>
        <rFont val="Calibri"/>
        <family val="2"/>
        <scheme val="minor"/>
      </rPr>
      <t>: Use Excel’s built-in chart tools to create the visualizations suggested for each column.</t>
    </r>
  </si>
  <si>
    <r>
      <t>4. Build the Dashboard</t>
    </r>
    <r>
      <rPr>
        <sz val="11"/>
        <color theme="1"/>
        <rFont val="Calibri"/>
        <family val="2"/>
        <scheme val="minor"/>
      </rPr>
      <t>: Arrange your visualizations and tables on a new worksheet. Use slicers and pivot tables to make your dashboard interactive.</t>
    </r>
  </si>
  <si>
    <r>
      <t>What to Do</t>
    </r>
    <r>
      <rPr>
        <sz val="11"/>
        <color theme="1"/>
        <rFont val="Calibri"/>
        <family val="2"/>
        <scheme val="minor"/>
      </rPr>
      <t>: Assess total revenue and its distribution</t>
    </r>
  </si>
  <si>
    <t>Grand Total</t>
  </si>
  <si>
    <t>Sum of Total Sales Amount</t>
  </si>
  <si>
    <t>Row Labels</t>
  </si>
  <si>
    <t>Sum of Quantity Sold</t>
  </si>
  <si>
    <t>Sum of Sales Amount</t>
  </si>
  <si>
    <t>Sum of Discount (%)</t>
  </si>
  <si>
    <t>Jan</t>
  </si>
  <si>
    <t>Feb</t>
  </si>
  <si>
    <t>Mar</t>
  </si>
  <si>
    <t>Sum of Profit Margin (%)</t>
  </si>
  <si>
    <t>ANALYSIS OF SALES OF COMPANY CUPCAKES</t>
  </si>
  <si>
    <r>
      <t>Total sales:</t>
    </r>
    <r>
      <rPr>
        <b/>
        <i/>
        <sz val="26"/>
        <color rgb="FF38154B"/>
        <rFont val="Calibri"/>
        <family val="2"/>
        <scheme val="minor"/>
      </rPr>
      <t>52,52,6000</t>
    </r>
  </si>
  <si>
    <r>
      <t>Total Profit Margin:</t>
    </r>
    <r>
      <rPr>
        <b/>
        <i/>
        <sz val="26"/>
        <color rgb="FF38154B"/>
        <rFont val="Calibri"/>
        <family val="2"/>
        <scheme val="minor"/>
      </rPr>
      <t>2,148</t>
    </r>
  </si>
  <si>
    <t>Top performer: Meera Reddy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</si>
</sst>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b/>
      <sz val="11"/>
      <color theme="1"/>
      <name val="Calibri"/>
      <family val="2"/>
      <scheme val="minor"/>
    </font>
    <font>
      <b/>
      <sz val="34"/>
      <color rgb="FFFFFF00"/>
      <name val="Arial Black"/>
      <family val="2"/>
    </font>
    <font>
      <b/>
      <sz val="28"/>
      <color theme="0"/>
      <name val="Arial Black"/>
      <family val="2"/>
    </font>
    <font>
      <b/>
      <sz val="20"/>
      <color rgb="FFFFC000"/>
      <name val="Arial Black"/>
      <family val="2"/>
    </font>
    <font>
      <b/>
      <sz val="28"/>
      <color rgb="FFFFC000"/>
      <name val="Arial Black"/>
      <family val="2"/>
    </font>
    <font>
      <b/>
      <sz val="20"/>
      <color theme="1"/>
      <name val="Calibri"/>
      <family val="2"/>
      <scheme val="minor"/>
    </font>
    <font>
      <b/>
      <sz val="16"/>
      <color theme="1"/>
      <name val="Calibri"/>
      <family val="2"/>
      <scheme val="minor"/>
    </font>
    <font>
      <sz val="10"/>
      <color theme="1"/>
      <name val="Arial Unicode MS"/>
    </font>
    <font>
      <b/>
      <sz val="18"/>
      <color theme="1"/>
      <name val="Calibri"/>
      <family val="2"/>
      <scheme val="minor"/>
    </font>
    <font>
      <sz val="18"/>
      <color theme="1"/>
      <name val="Calibri"/>
      <family val="2"/>
      <scheme val="minor"/>
    </font>
    <font>
      <sz val="20"/>
      <color theme="1"/>
      <name val="Calibri"/>
      <family val="2"/>
      <scheme val="minor"/>
    </font>
    <font>
      <b/>
      <i/>
      <sz val="24"/>
      <color rgb="FF38154B"/>
      <name val="Calibri"/>
      <family val="2"/>
      <scheme val="minor"/>
    </font>
    <font>
      <b/>
      <i/>
      <sz val="48"/>
      <color rgb="FF9966FF"/>
      <name val="Calibri"/>
      <family val="2"/>
      <scheme val="minor"/>
    </font>
    <font>
      <b/>
      <i/>
      <sz val="26"/>
      <color rgb="FF38154B"/>
      <name val="Calibri"/>
      <family val="2"/>
      <scheme val="minor"/>
    </font>
  </fonts>
  <fills count="7">
    <fill>
      <patternFill patternType="none"/>
    </fill>
    <fill>
      <patternFill patternType="gray125"/>
    </fill>
    <fill>
      <patternFill patternType="solid">
        <fgColor rgb="FF002060"/>
        <bgColor indexed="64"/>
      </patternFill>
    </fill>
    <fill>
      <patternFill patternType="solid">
        <fgColor theme="9" tint="-0.499984740745262"/>
        <bgColor indexed="64"/>
      </patternFill>
    </fill>
    <fill>
      <patternFill patternType="solid">
        <fgColor theme="4" tint="0.59999389629810485"/>
        <bgColor indexed="64"/>
      </patternFill>
    </fill>
    <fill>
      <patternFill patternType="solid">
        <fgColor rgb="FF38154B"/>
        <bgColor indexed="64"/>
      </patternFill>
    </fill>
    <fill>
      <patternFill patternType="solid">
        <fgColor rgb="FF9966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center" wrapText="1"/>
    </xf>
    <xf numFmtId="14" fontId="0" fillId="0" borderId="1" xfId="0" applyNumberFormat="1" applyBorder="1" applyAlignment="1">
      <alignment vertical="center" wrapText="1"/>
    </xf>
    <xf numFmtId="0" fontId="0" fillId="0" borderId="1" xfId="0" applyBorder="1" applyAlignment="1">
      <alignment vertical="center" wrapText="1"/>
    </xf>
    <xf numFmtId="0" fontId="0" fillId="0" borderId="1" xfId="0" applyBorder="1"/>
    <xf numFmtId="0" fontId="1" fillId="0" borderId="0" xfId="0" applyFont="1" applyAlignment="1">
      <alignment horizontal="left" vertical="center"/>
    </xf>
    <xf numFmtId="0" fontId="0" fillId="0" borderId="0" xfId="0" applyAlignment="1">
      <alignment horizontal="left" vertical="center" indent="1"/>
    </xf>
    <xf numFmtId="0" fontId="0" fillId="0" borderId="0" xfId="0" pivotButton="1"/>
    <xf numFmtId="0" fontId="0" fillId="0" borderId="0" xfId="0" applyAlignment="1">
      <alignment horizontal="left"/>
    </xf>
    <xf numFmtId="0" fontId="0" fillId="6" borderId="3" xfId="0" applyFill="1" applyBorder="1"/>
    <xf numFmtId="0" fontId="0" fillId="6" borderId="0" xfId="0" applyFill="1"/>
    <xf numFmtId="0" fontId="9" fillId="6" borderId="3" xfId="0" applyFont="1" applyFill="1" applyBorder="1" applyAlignment="1">
      <alignment vertical="center"/>
    </xf>
    <xf numFmtId="0" fontId="10" fillId="6" borderId="3" xfId="0" applyFont="1" applyFill="1" applyBorder="1" applyAlignment="1">
      <alignment vertical="center"/>
    </xf>
    <xf numFmtId="0" fontId="6" fillId="6" borderId="3" xfId="0" applyFont="1" applyFill="1" applyBorder="1" applyAlignment="1">
      <alignment vertical="center"/>
    </xf>
    <xf numFmtId="0" fontId="11" fillId="6" borderId="3" xfId="0" applyFont="1" applyFill="1" applyBorder="1" applyAlignment="1">
      <alignment vertical="center"/>
    </xf>
    <xf numFmtId="0" fontId="11" fillId="6" borderId="0" xfId="0" applyFont="1" applyFill="1" applyAlignment="1">
      <alignment vertical="center"/>
    </xf>
    <xf numFmtId="0" fontId="13" fillId="5" borderId="0" xfId="0" applyFont="1" applyFill="1" applyAlignment="1">
      <alignment horizontal="left" vertical="center" indent="43"/>
    </xf>
    <xf numFmtId="0" fontId="13" fillId="5" borderId="2" xfId="0" applyFont="1" applyFill="1" applyBorder="1" applyAlignment="1">
      <alignment horizontal="left" vertical="center" indent="43"/>
    </xf>
    <xf numFmtId="0" fontId="12" fillId="6" borderId="0" xfId="0" applyFont="1" applyFill="1" applyAlignment="1">
      <alignment horizontal="left" vertical="center" indent="8"/>
    </xf>
    <xf numFmtId="0" fontId="12" fillId="6" borderId="0" xfId="0" applyFont="1" applyFill="1" applyAlignment="1">
      <alignment horizontal="center" vertical="center"/>
    </xf>
    <xf numFmtId="0" fontId="12" fillId="6" borderId="0" xfId="0" applyFont="1" applyFill="1" applyAlignment="1">
      <alignment horizontal="left" vertical="center" indent="3"/>
    </xf>
    <xf numFmtId="0" fontId="1" fillId="0" borderId="0" xfId="0" applyFont="1" applyAlignment="1">
      <alignment horizontal="left" vertical="center"/>
    </xf>
    <xf numFmtId="0" fontId="2" fillId="2" borderId="0" xfId="0" applyFont="1" applyFill="1" applyAlignment="1">
      <alignment horizontal="center" vertical="center" wrapText="1"/>
    </xf>
    <xf numFmtId="0" fontId="3" fillId="3" borderId="0" xfId="0" applyFont="1" applyFill="1" applyAlignment="1">
      <alignment horizontal="center" vertical="center" wrapText="1"/>
    </xf>
    <xf numFmtId="0" fontId="6" fillId="4" borderId="0" xfId="0" applyFont="1" applyFill="1" applyAlignment="1">
      <alignment horizontal="center" vertical="center"/>
    </xf>
    <xf numFmtId="0" fontId="7" fillId="4" borderId="0" xfId="0" applyFont="1" applyFill="1" applyAlignment="1">
      <alignment horizontal="center" vertical="center"/>
    </xf>
    <xf numFmtId="0" fontId="1" fillId="0" borderId="0" xfId="0" applyFont="1" applyAlignment="1">
      <alignment horizontal="left" vertical="center" wrapText="1"/>
    </xf>
  </cellXfs>
  <cellStyles count="1">
    <cellStyle name="Normal" xfId="0" builtinId="0"/>
  </cellStyles>
  <dxfs count="0"/>
  <tableStyles count="1" defaultTableStyle="TableStyleMedium2" defaultPivotStyle="PivotStyleLight16">
    <tableStyle name="Slicer Style 1" pivot="0" table="0" count="1" xr9:uid="{FA1A83A5-5CF9-4313-A97C-F1486B193363}"/>
  </tableStyles>
  <colors>
    <mruColors>
      <color rgb="FF38154B"/>
      <color rgb="FF9966FF"/>
      <color rgb="FF1859A0"/>
    </mruColors>
  </colors>
  <extLst>
    <ext xmlns:x14="http://schemas.microsoft.com/office/spreadsheetml/2009/9/main" uri="{46F421CA-312F-682f-3DD2-61675219B42D}">
      <x14:dxfs count="1">
        <dxf>
          <fill>
            <patternFill>
              <bgColor rgb="FFFF0000"/>
            </patternFill>
          </fill>
        </dxf>
      </x14:dxfs>
    </ext>
    <ext xmlns:x14="http://schemas.microsoft.com/office/spreadsheetml/2009/9/main" uri="{EB79DEF2-80B8-43e5-95BD-54CBDDF9020C}">
      <x14:slicerStyles defaultSlicerStyle="SlicerStyleLight1">
        <x14:slicerStyle name="Slicer Style 1">
          <x14:slicerStyleElements>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c:name>
    <c:fmtId val="5"/>
  </c:pivotSource>
  <c:chart>
    <c:title>
      <c:tx>
        <c:rich>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b="1" i="1">
                <a:solidFill>
                  <a:schemeClr val="bg1"/>
                </a:solidFill>
              </a:rPr>
              <a:t>region (quantity sold)</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F4-4250-B5F1-CE20C921078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F4-4250-B5F1-CE20C921078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F4-4250-B5F1-CE20C921078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FF4-4250-B5F1-CE20C9210780}"/>
              </c:ext>
            </c:extLst>
          </c:dPt>
          <c:dLbls>
            <c:dLbl>
              <c:idx val="0"/>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FF4-4250-B5F1-CE20C9210780}"/>
                </c:ext>
              </c:extLst>
            </c:dLbl>
            <c:dLbl>
              <c:idx val="1"/>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FF4-4250-B5F1-CE20C9210780}"/>
                </c:ext>
              </c:extLst>
            </c:dLbl>
            <c:dLbl>
              <c:idx val="2"/>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FF4-4250-B5F1-CE20C9210780}"/>
                </c:ext>
              </c:extLst>
            </c:dLbl>
            <c:dLbl>
              <c:idx val="3"/>
              <c:dLblPos val="ct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FF4-4250-B5F1-CE20C92107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3570</c:v>
                </c:pt>
                <c:pt idx="1">
                  <c:v>3660</c:v>
                </c:pt>
                <c:pt idx="2">
                  <c:v>4200</c:v>
                </c:pt>
                <c:pt idx="3">
                  <c:v>3680</c:v>
                </c:pt>
              </c:numCache>
            </c:numRef>
          </c:val>
          <c:extLst>
            <c:ext xmlns:c16="http://schemas.microsoft.com/office/drawing/2014/chart" uri="{C3380CC4-5D6E-409C-BE32-E72D297353CC}">
              <c16:uniqueId val="{00000008-8FF4-4250-B5F1-CE20C921078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tables!PivotTable2</c:name>
    <c:fmtId val="6"/>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a:t>sales person(sales amount)</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tables'!$A$12:$A$16</c:f>
              <c:strCache>
                <c:ptCount val="4"/>
                <c:pt idx="0">
                  <c:v>Arun Kumar</c:v>
                </c:pt>
                <c:pt idx="1">
                  <c:v>Meera Reddy</c:v>
                </c:pt>
                <c:pt idx="2">
                  <c:v>Priya Sharma</c:v>
                </c:pt>
                <c:pt idx="3">
                  <c:v>Rajesh Patel</c:v>
                </c:pt>
              </c:strCache>
            </c:strRef>
          </c:cat>
          <c:val>
            <c:numRef>
              <c:f>'pivot tables'!$B$12:$B$16</c:f>
              <c:numCache>
                <c:formatCode>General</c:formatCode>
                <c:ptCount val="4"/>
                <c:pt idx="0">
                  <c:v>11466000</c:v>
                </c:pt>
                <c:pt idx="1">
                  <c:v>16472000</c:v>
                </c:pt>
                <c:pt idx="2">
                  <c:v>12020000</c:v>
                </c:pt>
                <c:pt idx="3">
                  <c:v>12568000</c:v>
                </c:pt>
              </c:numCache>
            </c:numRef>
          </c:val>
          <c:extLst>
            <c:ext xmlns:c16="http://schemas.microsoft.com/office/drawing/2014/chart" uri="{C3380CC4-5D6E-409C-BE32-E72D297353CC}">
              <c16:uniqueId val="{0000000F-D8AD-4BDB-9A72-2F07FB83A89E}"/>
            </c:ext>
          </c:extLst>
        </c:ser>
        <c:dLbls>
          <c:dLblPos val="inEnd"/>
          <c:showLegendKey val="0"/>
          <c:showVal val="1"/>
          <c:showCatName val="0"/>
          <c:showSerName val="0"/>
          <c:showPercent val="0"/>
          <c:showBubbleSize val="0"/>
        </c:dLbls>
        <c:gapWidth val="115"/>
        <c:overlap val="-20"/>
        <c:axId val="1614327295"/>
        <c:axId val="1614341855"/>
      </c:barChart>
      <c:catAx>
        <c:axId val="16143272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341855"/>
        <c:crosses val="autoZero"/>
        <c:auto val="1"/>
        <c:lblAlgn val="ctr"/>
        <c:lblOffset val="100"/>
        <c:noMultiLvlLbl val="0"/>
      </c:catAx>
      <c:valAx>
        <c:axId val="16143418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432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tables!PivotTable5</c:name>
    <c:fmtId val="4"/>
  </c:pivotSource>
  <c:chart>
    <c:title>
      <c:tx>
        <c:rich>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i="1">
                <a:solidFill>
                  <a:schemeClr val="bg1"/>
                </a:solidFill>
              </a:rPr>
              <a:t>regions</a:t>
            </a:r>
            <a:r>
              <a:rPr lang="en-US" i="1" baseline="0">
                <a:solidFill>
                  <a:schemeClr val="bg1"/>
                </a:solidFill>
              </a:rPr>
              <a:t> (sales amount)</a:t>
            </a:r>
            <a:endParaRPr lang="en-US" i="1">
              <a:solidFill>
                <a:schemeClr val="bg1"/>
              </a:solidFill>
            </a:endParaRP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0555555555555555E-2"/>
          <c:y val="0.29772929425488476"/>
          <c:w val="0.7993055555555556"/>
          <c:h val="0.58292104111985998"/>
        </c:manualLayout>
      </c:layout>
      <c:areaChart>
        <c:grouping val="standard"/>
        <c:varyColors val="0"/>
        <c:ser>
          <c:idx val="0"/>
          <c:order val="0"/>
          <c:tx>
            <c:strRef>
              <c:f>'pivot tables'!$B$26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9D-4675-85E0-7D043C4D2A7D}"/>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9D-4675-85E0-7D043C4D2A7D}"/>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9D-4675-85E0-7D043C4D2A7D}"/>
              </c:ext>
            </c:extLst>
          </c:dPt>
          <c:dPt>
            <c:idx val="3"/>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9D-4675-85E0-7D043C4D2A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tables'!$A$27:$A$31</c:f>
              <c:strCache>
                <c:ptCount val="4"/>
                <c:pt idx="0">
                  <c:v>East</c:v>
                </c:pt>
                <c:pt idx="1">
                  <c:v>North</c:v>
                </c:pt>
                <c:pt idx="2">
                  <c:v>South</c:v>
                </c:pt>
                <c:pt idx="3">
                  <c:v>West</c:v>
                </c:pt>
              </c:strCache>
            </c:strRef>
          </c:cat>
          <c:val>
            <c:numRef>
              <c:f>'pivot tables'!$B$27:$B$31</c:f>
              <c:numCache>
                <c:formatCode>General</c:formatCode>
                <c:ptCount val="4"/>
                <c:pt idx="0">
                  <c:v>71400</c:v>
                </c:pt>
                <c:pt idx="1">
                  <c:v>73200</c:v>
                </c:pt>
                <c:pt idx="2">
                  <c:v>84000</c:v>
                </c:pt>
                <c:pt idx="3">
                  <c:v>73600</c:v>
                </c:pt>
              </c:numCache>
            </c:numRef>
          </c:val>
          <c:extLst>
            <c:ext xmlns:c16="http://schemas.microsoft.com/office/drawing/2014/chart" uri="{C3380CC4-5D6E-409C-BE32-E72D297353CC}">
              <c16:uniqueId val="{00000008-639D-4675-85E0-7D043C4D2A7D}"/>
            </c:ext>
          </c:extLst>
        </c:ser>
        <c:dLbls>
          <c:showLegendKey val="0"/>
          <c:showVal val="0"/>
          <c:showCatName val="0"/>
          <c:showSerName val="0"/>
          <c:showPercent val="0"/>
          <c:showBubbleSize val="0"/>
        </c:dLbls>
        <c:axId val="2025758639"/>
        <c:axId val="2025760719"/>
      </c:areaChart>
      <c:valAx>
        <c:axId val="20257607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758639"/>
        <c:crosses val="autoZero"/>
        <c:crossBetween val="midCat"/>
      </c:valAx>
      <c:catAx>
        <c:axId val="2025758639"/>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5760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tables!PivotTable7</c:name>
    <c:fmtId val="4"/>
  </c:pivotSource>
  <c:chart>
    <c:title>
      <c:tx>
        <c:rich>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i="1">
                <a:solidFill>
                  <a:schemeClr val="bg1"/>
                </a:solidFill>
              </a:rPr>
              <a:t>Salesperson(discount)</a:t>
            </a:r>
          </a:p>
        </c:rich>
      </c:tx>
      <c:layout>
        <c:manualLayout>
          <c:xMode val="edge"/>
          <c:yMode val="edge"/>
          <c:x val="0.27509000002404516"/>
          <c:y val="0.10546077573636629"/>
        </c:manualLayout>
      </c:layout>
      <c:overlay val="0"/>
      <c:spPr>
        <a:noFill/>
        <a:ln>
          <a:noFill/>
        </a:ln>
        <a:effectLst/>
      </c:spPr>
      <c:txPr>
        <a:bodyPr rot="0" spcFirstLastPara="1" vertOverflow="ellipsis" vert="horz" wrap="square" anchor="ctr" anchorCtr="1"/>
        <a:lstStyle/>
        <a:p>
          <a:pPr>
            <a:defRPr sz="1600" b="1" i="1"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tables'!$F$9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tables'!$E$10:$E$14</c:f>
              <c:strCache>
                <c:ptCount val="4"/>
                <c:pt idx="0">
                  <c:v>Arun Kumar</c:v>
                </c:pt>
                <c:pt idx="1">
                  <c:v>Meera Reddy</c:v>
                </c:pt>
                <c:pt idx="2">
                  <c:v>Priya Sharma</c:v>
                </c:pt>
                <c:pt idx="3">
                  <c:v>Rajesh Patel</c:v>
                </c:pt>
              </c:strCache>
            </c:strRef>
          </c:cat>
          <c:val>
            <c:numRef>
              <c:f>'pivot tables'!$F$10:$F$14</c:f>
              <c:numCache>
                <c:formatCode>General</c:formatCode>
                <c:ptCount val="4"/>
                <c:pt idx="0">
                  <c:v>303</c:v>
                </c:pt>
                <c:pt idx="1">
                  <c:v>330</c:v>
                </c:pt>
                <c:pt idx="2">
                  <c:v>263</c:v>
                </c:pt>
                <c:pt idx="3">
                  <c:v>189</c:v>
                </c:pt>
              </c:numCache>
            </c:numRef>
          </c:val>
          <c:extLst>
            <c:ext xmlns:c16="http://schemas.microsoft.com/office/drawing/2014/chart" uri="{C3380CC4-5D6E-409C-BE32-E72D297353CC}">
              <c16:uniqueId val="{00000000-452E-4E17-A9B2-0D5978D9490E}"/>
            </c:ext>
          </c:extLst>
        </c:ser>
        <c:dLbls>
          <c:dLblPos val="inEnd"/>
          <c:showLegendKey val="0"/>
          <c:showVal val="1"/>
          <c:showCatName val="0"/>
          <c:showSerName val="0"/>
          <c:showPercent val="0"/>
          <c:showBubbleSize val="0"/>
        </c:dLbls>
        <c:gapWidth val="115"/>
        <c:overlap val="-20"/>
        <c:axId val="351671631"/>
        <c:axId val="351672879"/>
      </c:barChart>
      <c:catAx>
        <c:axId val="35167163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672879"/>
        <c:crosses val="autoZero"/>
        <c:auto val="1"/>
        <c:lblAlgn val="ctr"/>
        <c:lblOffset val="100"/>
        <c:noMultiLvlLbl val="0"/>
      </c:catAx>
      <c:valAx>
        <c:axId val="35167287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167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tables!PivotTable4</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2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3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pivotFmt>
      <c:pivotFmt>
        <c:idx val="188"/>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tables'!$F$3</c:f>
              <c:strCache>
                <c:ptCount val="1"/>
                <c:pt idx="0">
                  <c:v>Sum of Sales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tables'!$E$4:$E$7</c:f>
              <c:strCache>
                <c:ptCount val="3"/>
                <c:pt idx="0">
                  <c:v>Jan</c:v>
                </c:pt>
                <c:pt idx="1">
                  <c:v>Feb</c:v>
                </c:pt>
                <c:pt idx="2">
                  <c:v>Mar</c:v>
                </c:pt>
              </c:strCache>
            </c:strRef>
          </c:cat>
          <c:val>
            <c:numRef>
              <c:f>'pivot tables'!$F$4:$F$7</c:f>
              <c:numCache>
                <c:formatCode>General</c:formatCode>
                <c:ptCount val="3"/>
                <c:pt idx="0">
                  <c:v>99600</c:v>
                </c:pt>
                <c:pt idx="1">
                  <c:v>96400</c:v>
                </c:pt>
                <c:pt idx="2">
                  <c:v>106200</c:v>
                </c:pt>
              </c:numCache>
            </c:numRef>
          </c:val>
          <c:extLst>
            <c:ext xmlns:c16="http://schemas.microsoft.com/office/drawing/2014/chart" uri="{C3380CC4-5D6E-409C-BE32-E72D297353CC}">
              <c16:uniqueId val="{0000003E-1C18-414F-8ADD-72FA657729D9}"/>
            </c:ext>
          </c:extLst>
        </c:ser>
        <c:ser>
          <c:idx val="1"/>
          <c:order val="1"/>
          <c:tx>
            <c:strRef>
              <c:f>'pivot tables'!$G$3</c:f>
              <c:strCache>
                <c:ptCount val="1"/>
                <c:pt idx="0">
                  <c:v>Sum of Profit Margin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tables'!$E$4:$E$7</c:f>
              <c:strCache>
                <c:ptCount val="3"/>
                <c:pt idx="0">
                  <c:v>Jan</c:v>
                </c:pt>
                <c:pt idx="1">
                  <c:v>Feb</c:v>
                </c:pt>
                <c:pt idx="2">
                  <c:v>Mar</c:v>
                </c:pt>
              </c:strCache>
            </c:strRef>
          </c:cat>
          <c:val>
            <c:numRef>
              <c:f>'pivot tables'!$G$4:$G$7</c:f>
              <c:numCache>
                <c:formatCode>General</c:formatCode>
                <c:ptCount val="3"/>
                <c:pt idx="0">
                  <c:v>693</c:v>
                </c:pt>
                <c:pt idx="1">
                  <c:v>691</c:v>
                </c:pt>
                <c:pt idx="2">
                  <c:v>764</c:v>
                </c:pt>
              </c:numCache>
            </c:numRef>
          </c:val>
          <c:extLst>
            <c:ext xmlns:c16="http://schemas.microsoft.com/office/drawing/2014/chart" uri="{C3380CC4-5D6E-409C-BE32-E72D297353CC}">
              <c16:uniqueId val="{0000003F-1C18-414F-8ADD-72FA657729D9}"/>
            </c:ext>
          </c:extLst>
        </c:ser>
        <c:dLbls>
          <c:dLblPos val="outEnd"/>
          <c:showLegendKey val="0"/>
          <c:showVal val="1"/>
          <c:showCatName val="0"/>
          <c:showSerName val="0"/>
          <c:showPercent val="0"/>
          <c:showBubbleSize val="0"/>
        </c:dLbls>
        <c:gapWidth val="100"/>
        <c:overlap val="-24"/>
        <c:axId val="1001050591"/>
        <c:axId val="1001053919"/>
      </c:barChart>
      <c:catAx>
        <c:axId val="1001050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053919"/>
        <c:crosses val="autoZero"/>
        <c:auto val="1"/>
        <c:lblAlgn val="ctr"/>
        <c:lblOffset val="100"/>
        <c:noMultiLvlLbl val="0"/>
      </c:catAx>
      <c:valAx>
        <c:axId val="10010539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05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tables!PivotTable3</c:name>
    <c:fmtId val="4"/>
  </c:pivotSource>
  <c:chart>
    <c:title>
      <c:tx>
        <c:rich>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i="1"/>
              <a:t>products(quantity sold)</a:t>
            </a:r>
          </a:p>
        </c:rich>
      </c:tx>
      <c:overlay val="0"/>
      <c:spPr>
        <a:noFill/>
        <a:ln>
          <a:noFill/>
        </a:ln>
        <a:effectLst/>
      </c:spPr>
      <c:txPr>
        <a:bodyPr rot="0" spcFirstLastPara="1" vertOverflow="ellipsis" vert="horz" wrap="square" anchor="ctr" anchorCtr="1"/>
        <a:lstStyle/>
        <a:p>
          <a:pPr>
            <a:defRPr sz="1600" b="1" i="1"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24759405074365"/>
          <c:y val="0.26995151647710702"/>
          <c:w val="0.72191863517060373"/>
          <c:h val="0.52644757946923304"/>
        </c:manualLayout>
      </c:layout>
      <c:lineChart>
        <c:grouping val="standard"/>
        <c:varyColors val="0"/>
        <c:ser>
          <c:idx val="0"/>
          <c:order val="0"/>
          <c:tx>
            <c:strRef>
              <c:f>'pivot tables'!$B$19</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tables'!$A$20:$A$23</c:f>
              <c:strCache>
                <c:ptCount val="3"/>
                <c:pt idx="0">
                  <c:v>Product X</c:v>
                </c:pt>
                <c:pt idx="1">
                  <c:v>Product Y</c:v>
                </c:pt>
                <c:pt idx="2">
                  <c:v>Product Z</c:v>
                </c:pt>
              </c:strCache>
            </c:strRef>
          </c:cat>
          <c:val>
            <c:numRef>
              <c:f>'pivot tables'!$B$20:$B$23</c:f>
              <c:numCache>
                <c:formatCode>General</c:formatCode>
                <c:ptCount val="3"/>
                <c:pt idx="0">
                  <c:v>4410</c:v>
                </c:pt>
                <c:pt idx="1">
                  <c:v>5170</c:v>
                </c:pt>
                <c:pt idx="2">
                  <c:v>5530</c:v>
                </c:pt>
              </c:numCache>
            </c:numRef>
          </c:val>
          <c:smooth val="0"/>
          <c:extLst>
            <c:ext xmlns:c16="http://schemas.microsoft.com/office/drawing/2014/chart" uri="{C3380CC4-5D6E-409C-BE32-E72D297353CC}">
              <c16:uniqueId val="{00000000-EE28-47FA-9B6E-804331BC4853}"/>
            </c:ext>
          </c:extLst>
        </c:ser>
        <c:dLbls>
          <c:dLblPos val="ctr"/>
          <c:showLegendKey val="0"/>
          <c:showVal val="1"/>
          <c:showCatName val="0"/>
          <c:showSerName val="0"/>
          <c:showPercent val="0"/>
          <c:showBubbleSize val="0"/>
        </c:dLbls>
        <c:marker val="1"/>
        <c:smooth val="0"/>
        <c:axId val="1633569583"/>
        <c:axId val="1633561263"/>
      </c:lineChart>
      <c:catAx>
        <c:axId val="163356958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561263"/>
        <c:crosses val="autoZero"/>
        <c:auto val="1"/>
        <c:lblAlgn val="ctr"/>
        <c:lblOffset val="100"/>
        <c:noMultiLvlLbl val="0"/>
      </c:catAx>
      <c:valAx>
        <c:axId val="16335612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3569583"/>
        <c:crosses val="autoZero"/>
        <c:crossBetween val="between"/>
      </c:valAx>
      <c:spPr>
        <a:noFill/>
        <a:ln>
          <a:noFill/>
        </a:ln>
        <a:effectLst/>
      </c:spPr>
    </c:plotArea>
    <c:legend>
      <c:legendPos val="r"/>
      <c:layout>
        <c:manualLayout>
          <c:xMode val="edge"/>
          <c:yMode val="edge"/>
          <c:x val="0.84438845144356967"/>
          <c:y val="0.46042796733741614"/>
          <c:w val="0.13894488188976378"/>
          <c:h val="0.109375546806649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tables!PivotTable10</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02537182852142"/>
          <c:y val="0.18416447944007"/>
          <c:w val="0.52753018372703409"/>
          <c:h val="0.65853091280256637"/>
        </c:manualLayout>
      </c:layout>
      <c:barChart>
        <c:barDir val="col"/>
        <c:grouping val="clustered"/>
        <c:varyColors val="0"/>
        <c:ser>
          <c:idx val="0"/>
          <c:order val="0"/>
          <c:tx>
            <c:strRef>
              <c:f>'pivot tables'!$F$17</c:f>
              <c:strCache>
                <c:ptCount val="1"/>
                <c:pt idx="0">
                  <c:v>Sum of Quantity Sold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tables'!$E$18:$E$21</c:f>
              <c:strCache>
                <c:ptCount val="3"/>
                <c:pt idx="0">
                  <c:v>Product X</c:v>
                </c:pt>
                <c:pt idx="1">
                  <c:v>Product Y</c:v>
                </c:pt>
                <c:pt idx="2">
                  <c:v>Product Z</c:v>
                </c:pt>
              </c:strCache>
            </c:strRef>
          </c:cat>
          <c:val>
            <c:numRef>
              <c:f>'pivot tables'!$F$18:$F$21</c:f>
              <c:numCache>
                <c:formatCode>General</c:formatCode>
                <c:ptCount val="3"/>
                <c:pt idx="0">
                  <c:v>4410</c:v>
                </c:pt>
                <c:pt idx="1">
                  <c:v>5170</c:v>
                </c:pt>
                <c:pt idx="2">
                  <c:v>5530</c:v>
                </c:pt>
              </c:numCache>
            </c:numRef>
          </c:val>
          <c:extLst>
            <c:ext xmlns:c16="http://schemas.microsoft.com/office/drawing/2014/chart" uri="{C3380CC4-5D6E-409C-BE32-E72D297353CC}">
              <c16:uniqueId val="{00000000-D946-4154-A598-681117A2CA23}"/>
            </c:ext>
          </c:extLst>
        </c:ser>
        <c:ser>
          <c:idx val="1"/>
          <c:order val="1"/>
          <c:tx>
            <c:strRef>
              <c:f>'pivot tables'!$G$17</c:f>
              <c:strCache>
                <c:ptCount val="1"/>
                <c:pt idx="0">
                  <c:v>Sum of Profit Margin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tables'!$E$18:$E$21</c:f>
              <c:strCache>
                <c:ptCount val="3"/>
                <c:pt idx="0">
                  <c:v>Product X</c:v>
                </c:pt>
                <c:pt idx="1">
                  <c:v>Product Y</c:v>
                </c:pt>
                <c:pt idx="2">
                  <c:v>Product Z</c:v>
                </c:pt>
              </c:strCache>
            </c:strRef>
          </c:cat>
          <c:val>
            <c:numRef>
              <c:f>'pivot tables'!$G$18:$G$21</c:f>
              <c:numCache>
                <c:formatCode>General</c:formatCode>
                <c:ptCount val="3"/>
                <c:pt idx="0">
                  <c:v>647</c:v>
                </c:pt>
                <c:pt idx="1">
                  <c:v>752</c:v>
                </c:pt>
                <c:pt idx="2">
                  <c:v>749</c:v>
                </c:pt>
              </c:numCache>
            </c:numRef>
          </c:val>
          <c:extLst>
            <c:ext xmlns:c16="http://schemas.microsoft.com/office/drawing/2014/chart" uri="{C3380CC4-5D6E-409C-BE32-E72D297353CC}">
              <c16:uniqueId val="{00000001-D946-4154-A598-681117A2CA23}"/>
            </c:ext>
          </c:extLst>
        </c:ser>
        <c:dLbls>
          <c:showLegendKey val="0"/>
          <c:showVal val="0"/>
          <c:showCatName val="0"/>
          <c:showSerName val="0"/>
          <c:showPercent val="0"/>
          <c:showBubbleSize val="0"/>
        </c:dLbls>
        <c:gapWidth val="247"/>
        <c:overlap val="-27"/>
        <c:axId val="349925663"/>
        <c:axId val="349927743"/>
      </c:barChart>
      <c:lineChart>
        <c:grouping val="standard"/>
        <c:varyColors val="0"/>
        <c:ser>
          <c:idx val="2"/>
          <c:order val="2"/>
          <c:tx>
            <c:strRef>
              <c:f>'pivot tables'!$H$17</c:f>
              <c:strCache>
                <c:ptCount val="1"/>
                <c:pt idx="0">
                  <c:v>Sum of Discount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tables'!$E$18:$E$21</c:f>
              <c:strCache>
                <c:ptCount val="3"/>
                <c:pt idx="0">
                  <c:v>Product X</c:v>
                </c:pt>
                <c:pt idx="1">
                  <c:v>Product Y</c:v>
                </c:pt>
                <c:pt idx="2">
                  <c:v>Product Z</c:v>
                </c:pt>
              </c:strCache>
            </c:strRef>
          </c:cat>
          <c:val>
            <c:numRef>
              <c:f>'pivot tables'!$H$18:$H$21</c:f>
              <c:numCache>
                <c:formatCode>General</c:formatCode>
                <c:ptCount val="3"/>
                <c:pt idx="0">
                  <c:v>296</c:v>
                </c:pt>
                <c:pt idx="1">
                  <c:v>382</c:v>
                </c:pt>
                <c:pt idx="2">
                  <c:v>407</c:v>
                </c:pt>
              </c:numCache>
            </c:numRef>
          </c:val>
          <c:smooth val="0"/>
          <c:extLst>
            <c:ext xmlns:c16="http://schemas.microsoft.com/office/drawing/2014/chart" uri="{C3380CC4-5D6E-409C-BE32-E72D297353CC}">
              <c16:uniqueId val="{00000002-D946-4154-A598-681117A2CA23}"/>
            </c:ext>
          </c:extLst>
        </c:ser>
        <c:dLbls>
          <c:showLegendKey val="0"/>
          <c:showVal val="0"/>
          <c:showCatName val="0"/>
          <c:showSerName val="0"/>
          <c:showPercent val="0"/>
          <c:showBubbleSize val="0"/>
        </c:dLbls>
        <c:marker val="1"/>
        <c:smooth val="0"/>
        <c:axId val="349925663"/>
        <c:axId val="349927743"/>
      </c:lineChart>
      <c:catAx>
        <c:axId val="349925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349927743"/>
        <c:crosses val="autoZero"/>
        <c:auto val="1"/>
        <c:lblAlgn val="ctr"/>
        <c:lblOffset val="100"/>
        <c:noMultiLvlLbl val="0"/>
      </c:catAx>
      <c:valAx>
        <c:axId val="3499277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349925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tables!PivotTable14</c:name>
    <c:fmtId val="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tables'!$F$24</c:f>
              <c:strCache>
                <c:ptCount val="1"/>
                <c:pt idx="0">
                  <c:v>Sum of Discount (%)</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tables'!$E$25:$E$29</c:f>
              <c:strCache>
                <c:ptCount val="4"/>
                <c:pt idx="0">
                  <c:v>Arun Kumar</c:v>
                </c:pt>
                <c:pt idx="1">
                  <c:v>Meera Reddy</c:v>
                </c:pt>
                <c:pt idx="2">
                  <c:v>Priya Sharma</c:v>
                </c:pt>
                <c:pt idx="3">
                  <c:v>Rajesh Patel</c:v>
                </c:pt>
              </c:strCache>
            </c:strRef>
          </c:cat>
          <c:val>
            <c:numRef>
              <c:f>'pivot tables'!$F$25:$F$29</c:f>
              <c:numCache>
                <c:formatCode>General</c:formatCode>
                <c:ptCount val="4"/>
                <c:pt idx="0">
                  <c:v>303</c:v>
                </c:pt>
                <c:pt idx="1">
                  <c:v>330</c:v>
                </c:pt>
                <c:pt idx="2">
                  <c:v>263</c:v>
                </c:pt>
                <c:pt idx="3">
                  <c:v>189</c:v>
                </c:pt>
              </c:numCache>
            </c:numRef>
          </c:val>
          <c:smooth val="0"/>
          <c:extLst>
            <c:ext xmlns:c16="http://schemas.microsoft.com/office/drawing/2014/chart" uri="{C3380CC4-5D6E-409C-BE32-E72D297353CC}">
              <c16:uniqueId val="{00000000-3C78-4DBB-9792-2186C110C316}"/>
            </c:ext>
          </c:extLst>
        </c:ser>
        <c:ser>
          <c:idx val="1"/>
          <c:order val="1"/>
          <c:tx>
            <c:strRef>
              <c:f>'pivot tables'!$G$24</c:f>
              <c:strCache>
                <c:ptCount val="1"/>
                <c:pt idx="0">
                  <c:v>Sum of Profit Margin (%)</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tables'!$E$25:$E$29</c:f>
              <c:strCache>
                <c:ptCount val="4"/>
                <c:pt idx="0">
                  <c:v>Arun Kumar</c:v>
                </c:pt>
                <c:pt idx="1">
                  <c:v>Meera Reddy</c:v>
                </c:pt>
                <c:pt idx="2">
                  <c:v>Priya Sharma</c:v>
                </c:pt>
                <c:pt idx="3">
                  <c:v>Rajesh Patel</c:v>
                </c:pt>
              </c:strCache>
            </c:strRef>
          </c:cat>
          <c:val>
            <c:numRef>
              <c:f>'pivot tables'!$G$25:$G$29</c:f>
              <c:numCache>
                <c:formatCode>General</c:formatCode>
                <c:ptCount val="4"/>
                <c:pt idx="0">
                  <c:v>532</c:v>
                </c:pt>
                <c:pt idx="1">
                  <c:v>598</c:v>
                </c:pt>
                <c:pt idx="2">
                  <c:v>524</c:v>
                </c:pt>
                <c:pt idx="3">
                  <c:v>494</c:v>
                </c:pt>
              </c:numCache>
            </c:numRef>
          </c:val>
          <c:smooth val="0"/>
          <c:extLst>
            <c:ext xmlns:c16="http://schemas.microsoft.com/office/drawing/2014/chart" uri="{C3380CC4-5D6E-409C-BE32-E72D297353CC}">
              <c16:uniqueId val="{00000001-3C78-4DBB-9792-2186C110C316}"/>
            </c:ext>
          </c:extLst>
        </c:ser>
        <c:dLbls>
          <c:dLblPos val="ctr"/>
          <c:showLegendKey val="0"/>
          <c:showVal val="1"/>
          <c:showCatName val="0"/>
          <c:showSerName val="0"/>
          <c:showPercent val="0"/>
          <c:showBubbleSize val="0"/>
        </c:dLbls>
        <c:marker val="1"/>
        <c:smooth val="0"/>
        <c:axId val="359108063"/>
        <c:axId val="359104319"/>
      </c:lineChart>
      <c:catAx>
        <c:axId val="3591080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104319"/>
        <c:crosses val="autoZero"/>
        <c:auto val="1"/>
        <c:lblAlgn val="ctr"/>
        <c:lblOffset val="100"/>
        <c:noMultiLvlLbl val="0"/>
      </c:catAx>
      <c:valAx>
        <c:axId val="3591043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910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0</xdr:col>
      <xdr:colOff>258536</xdr:colOff>
      <xdr:row>14</xdr:row>
      <xdr:rowOff>0</xdr:rowOff>
    </xdr:from>
    <xdr:to>
      <xdr:col>4</xdr:col>
      <xdr:colOff>40822</xdr:colOff>
      <xdr:row>28</xdr:row>
      <xdr:rowOff>81643</xdr:rowOff>
    </xdr:to>
    <mc:AlternateContent xmlns:mc="http://schemas.openxmlformats.org/markup-compatibility/2006" xmlns:a14="http://schemas.microsoft.com/office/drawing/2010/main">
      <mc:Choice Requires="a14">
        <xdr:graphicFrame macro="">
          <xdr:nvGraphicFramePr>
            <xdr:cNvPr id="10" name="Date (Month)">
              <a:extLst>
                <a:ext uri="{FF2B5EF4-FFF2-40B4-BE49-F238E27FC236}">
                  <a16:creationId xmlns:a16="http://schemas.microsoft.com/office/drawing/2014/main" id="{6767DC06-0088-42C1-AFB2-71E37BB1662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58536" y="2667000"/>
              <a:ext cx="2258786" cy="2748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258536</xdr:colOff>
      <xdr:row>29</xdr:row>
      <xdr:rowOff>136071</xdr:rowOff>
    </xdr:from>
    <xdr:to>
      <xdr:col>4</xdr:col>
      <xdr:colOff>68035</xdr:colOff>
      <xdr:row>43</xdr:row>
      <xdr:rowOff>54429</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284984B9-FA42-42E9-8AF4-5D5CE17C6DE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16379" y="566873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272142</xdr:colOff>
      <xdr:row>44</xdr:row>
      <xdr:rowOff>122464</xdr:rowOff>
    </xdr:from>
    <xdr:to>
      <xdr:col>4</xdr:col>
      <xdr:colOff>54427</xdr:colOff>
      <xdr:row>59</xdr:row>
      <xdr:rowOff>42183</xdr:rowOff>
    </xdr:to>
    <mc:AlternateContent xmlns:mc="http://schemas.openxmlformats.org/markup-compatibility/2006" xmlns:a14="http://schemas.microsoft.com/office/drawing/2010/main">
      <mc:Choice Requires="a14">
        <xdr:graphicFrame macro="">
          <xdr:nvGraphicFramePr>
            <xdr:cNvPr id="13" name="Salesperson">
              <a:extLst>
                <a:ext uri="{FF2B5EF4-FFF2-40B4-BE49-F238E27FC236}">
                  <a16:creationId xmlns:a16="http://schemas.microsoft.com/office/drawing/2014/main" id="{A7B358DA-CD74-4031-BF9C-BFF687B5ADDB}"/>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59921" y="875755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592314</xdr:colOff>
      <xdr:row>0</xdr:row>
      <xdr:rowOff>149678</xdr:rowOff>
    </xdr:from>
    <xdr:to>
      <xdr:col>3</xdr:col>
      <xdr:colOff>503466</xdr:colOff>
      <xdr:row>6</xdr:row>
      <xdr:rowOff>171804</xdr:rowOff>
    </xdr:to>
    <xdr:pic>
      <xdr:nvPicPr>
        <xdr:cNvPr id="15" name="Picture 14" descr="Three cupcakes">
          <a:extLst>
            <a:ext uri="{FF2B5EF4-FFF2-40B4-BE49-F238E27FC236}">
              <a16:creationId xmlns:a16="http://schemas.microsoft.com/office/drawing/2014/main" id="{C1A7CFAF-2254-4998-A9CF-70D96BE5A9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2314" y="149678"/>
          <a:ext cx="1748116" cy="1165126"/>
        </a:xfrm>
        <a:prstGeom prst="rect">
          <a:avLst/>
        </a:prstGeom>
      </xdr:spPr>
    </xdr:pic>
    <xdr:clientData/>
  </xdr:twoCellAnchor>
  <xdr:twoCellAnchor>
    <xdr:from>
      <xdr:col>4</xdr:col>
      <xdr:colOff>397514</xdr:colOff>
      <xdr:row>13</xdr:row>
      <xdr:rowOff>190463</xdr:rowOff>
    </xdr:from>
    <xdr:to>
      <xdr:col>29</xdr:col>
      <xdr:colOff>54429</xdr:colOff>
      <xdr:row>59</xdr:row>
      <xdr:rowOff>102174</xdr:rowOff>
    </xdr:to>
    <xdr:grpSp>
      <xdr:nvGrpSpPr>
        <xdr:cNvPr id="14" name="Group 13">
          <a:extLst>
            <a:ext uri="{FF2B5EF4-FFF2-40B4-BE49-F238E27FC236}">
              <a16:creationId xmlns:a16="http://schemas.microsoft.com/office/drawing/2014/main" id="{28CFDA7C-5A6C-44D1-B9E7-610E733CA3FD}"/>
            </a:ext>
          </a:extLst>
        </xdr:cNvPr>
        <xdr:cNvGrpSpPr/>
      </xdr:nvGrpSpPr>
      <xdr:grpSpPr>
        <a:xfrm>
          <a:off x="2846800" y="2666963"/>
          <a:ext cx="14964950" cy="8674711"/>
          <a:chOff x="2803071" y="2653394"/>
          <a:chExt cx="14790964" cy="8698392"/>
        </a:xfrm>
      </xdr:grpSpPr>
      <xdr:graphicFrame macro="">
        <xdr:nvGraphicFramePr>
          <xdr:cNvPr id="3" name="Chart 2">
            <a:extLst>
              <a:ext uri="{FF2B5EF4-FFF2-40B4-BE49-F238E27FC236}">
                <a16:creationId xmlns:a16="http://schemas.microsoft.com/office/drawing/2014/main" id="{ECA122BF-320A-4C8F-A660-A076D0EF3703}"/>
              </a:ext>
            </a:extLst>
          </xdr:cNvPr>
          <xdr:cNvGraphicFramePr>
            <a:graphicFrameLocks/>
          </xdr:cNvGraphicFramePr>
        </xdr:nvGraphicFramePr>
        <xdr:xfrm>
          <a:off x="7733454" y="2664279"/>
          <a:ext cx="4798725" cy="275894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E6FBFA42-CC8B-458A-BB90-34D1A4454032}"/>
              </a:ext>
            </a:extLst>
          </xdr:cNvPr>
          <xdr:cNvGraphicFramePr>
            <a:graphicFrameLocks/>
          </xdr:cNvGraphicFramePr>
        </xdr:nvGraphicFramePr>
        <xdr:xfrm>
          <a:off x="12803705" y="2653394"/>
          <a:ext cx="4790330" cy="2728894"/>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887F5D13-2CD2-46B0-8B6C-9FA63A3BA3A0}"/>
              </a:ext>
            </a:extLst>
          </xdr:cNvPr>
          <xdr:cNvGraphicFramePr>
            <a:graphicFrameLocks/>
          </xdr:cNvGraphicFramePr>
        </xdr:nvGraphicFramePr>
        <xdr:xfrm>
          <a:off x="7720004" y="5655174"/>
          <a:ext cx="4814722" cy="2660636"/>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BB276D5A-7886-4A00-9F52-F9F90B1ABE6B}"/>
              </a:ext>
            </a:extLst>
          </xdr:cNvPr>
          <xdr:cNvGraphicFramePr>
            <a:graphicFrameLocks/>
          </xdr:cNvGraphicFramePr>
        </xdr:nvGraphicFramePr>
        <xdr:xfrm>
          <a:off x="12810480" y="5651763"/>
          <a:ext cx="4744328" cy="2713144"/>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12" name="Group 11">
            <a:extLst>
              <a:ext uri="{FF2B5EF4-FFF2-40B4-BE49-F238E27FC236}">
                <a16:creationId xmlns:a16="http://schemas.microsoft.com/office/drawing/2014/main" id="{6D88BBD8-6528-4D96-9E38-716AADA2E8EA}"/>
              </a:ext>
            </a:extLst>
          </xdr:cNvPr>
          <xdr:cNvGrpSpPr/>
        </xdr:nvGrpSpPr>
        <xdr:grpSpPr>
          <a:xfrm>
            <a:off x="2803071" y="2667074"/>
            <a:ext cx="4688302" cy="8684712"/>
            <a:chOff x="2803071" y="2667370"/>
            <a:chExt cx="4688302" cy="8778959"/>
          </a:xfrm>
        </xdr:grpSpPr>
        <xdr:graphicFrame macro="">
          <xdr:nvGraphicFramePr>
            <xdr:cNvPr id="2" name="Chart 1">
              <a:extLst>
                <a:ext uri="{FF2B5EF4-FFF2-40B4-BE49-F238E27FC236}">
                  <a16:creationId xmlns:a16="http://schemas.microsoft.com/office/drawing/2014/main" id="{621C88A3-479B-4214-AA56-75E97B568EF7}"/>
                </a:ext>
              </a:extLst>
            </xdr:cNvPr>
            <xdr:cNvGraphicFramePr>
              <a:graphicFrameLocks/>
            </xdr:cNvGraphicFramePr>
          </xdr:nvGraphicFramePr>
          <xdr:xfrm>
            <a:off x="2850222" y="2667370"/>
            <a:ext cx="4641149" cy="278605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5" name="Chart 4">
              <a:extLst>
                <a:ext uri="{FF2B5EF4-FFF2-40B4-BE49-F238E27FC236}">
                  <a16:creationId xmlns:a16="http://schemas.microsoft.com/office/drawing/2014/main" id="{E74FCDDF-63A4-4330-8C3F-C4DBBBBB0E46}"/>
                </a:ext>
              </a:extLst>
            </xdr:cNvPr>
            <xdr:cNvGraphicFramePr>
              <a:graphicFrameLocks/>
            </xdr:cNvGraphicFramePr>
          </xdr:nvGraphicFramePr>
          <xdr:xfrm>
            <a:off x="2803071" y="5715482"/>
            <a:ext cx="4688302" cy="271323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8" name="Chart 7">
              <a:extLst>
                <a:ext uri="{FF2B5EF4-FFF2-40B4-BE49-F238E27FC236}">
                  <a16:creationId xmlns:a16="http://schemas.microsoft.com/office/drawing/2014/main" id="{2D03864D-077B-49C9-8F6F-EDEEB2D96ADE}"/>
                </a:ext>
              </a:extLst>
            </xdr:cNvPr>
            <xdr:cNvGraphicFramePr>
              <a:graphicFrameLocks/>
            </xdr:cNvGraphicFramePr>
          </xdr:nvGraphicFramePr>
          <xdr:xfrm>
            <a:off x="2811236" y="8763593"/>
            <a:ext cx="4680137" cy="2682736"/>
          </xdr:xfrm>
          <a:graphic>
            <a:graphicData uri="http://schemas.openxmlformats.org/drawingml/2006/chart">
              <c:chart xmlns:c="http://schemas.openxmlformats.org/drawingml/2006/chart" xmlns:r="http://schemas.openxmlformats.org/officeDocument/2006/relationships" r:id="rId8"/>
            </a:graphicData>
          </a:graphic>
        </xdr:graphicFrame>
      </xdr:grpSp>
      <xdr:graphicFrame macro="">
        <xdr:nvGraphicFramePr>
          <xdr:cNvPr id="9" name="Chart 8" hidden="1">
            <a:extLst>
              <a:ext uri="{FF2B5EF4-FFF2-40B4-BE49-F238E27FC236}">
                <a16:creationId xmlns:a16="http://schemas.microsoft.com/office/drawing/2014/main" id="{839429E1-F232-43D7-9D48-A1B2E8697EC6}"/>
              </a:ext>
            </a:extLst>
          </xdr:cNvPr>
          <xdr:cNvGraphicFramePr>
            <a:graphicFrameLocks/>
          </xdr:cNvGraphicFramePr>
        </xdr:nvGraphicFramePr>
        <xdr:xfrm>
          <a:off x="7968342" y="8733307"/>
          <a:ext cx="4569277" cy="2618479"/>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refreshedDate="46064.452245370368" createdVersion="7" refreshedVersion="7" minRefreshableVersion="3" recordCount="90" xr:uid="{1F58FC60-7C1C-4D9C-8F5D-053DF13E323F}">
  <cacheSource type="worksheet">
    <worksheetSource ref="A3:I93" sheet="Class"/>
  </cacheSource>
  <cacheFields count="9">
    <cacheField name="Date" numFmtId="14">
      <sharedItems containsSemiMixedTypes="0" containsNonDate="0" containsDate="1" containsString="0" minDate="2024-01-01T00:00:00" maxDate="2024-04-01T00:00:00" count="9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Region" numFmtId="0">
      <sharedItems count="4">
        <s v="East"/>
        <s v="West"/>
        <s v="North"/>
        <s v="South"/>
      </sharedItems>
    </cacheField>
    <cacheField name="Salesperson" numFmtId="0">
      <sharedItems count="4">
        <s v="Arun Kumar"/>
        <s v="Priya Sharma"/>
        <s v="Rajesh Patel"/>
        <s v="Meera Reddy"/>
      </sharedItems>
    </cacheField>
    <cacheField name="Product" numFmtId="0">
      <sharedItems count="3">
        <s v="Product X"/>
        <s v="Product Y"/>
        <s v="Product Z"/>
      </sharedItems>
    </cacheField>
    <cacheField name="Quantity Sold" numFmtId="0">
      <sharedItems containsSemiMixedTypes="0" containsString="0" containsNumber="1" containsInteger="1" minValue="100" maxValue="250"/>
    </cacheField>
    <cacheField name="Sales Amount" numFmtId="0">
      <sharedItems containsSemiMixedTypes="0" containsString="0" containsNumber="1" containsInteger="1" minValue="2000" maxValue="5000" count="15">
        <n v="3000"/>
        <n v="4000"/>
        <n v="2400"/>
        <n v="5000"/>
        <n v="2000"/>
        <n v="3600"/>
        <n v="3400"/>
        <n v="2600"/>
        <n v="3200"/>
        <n v="2800"/>
        <n v="3800"/>
        <n v="4200"/>
        <n v="4400"/>
        <n v="2200"/>
        <n v="4600"/>
      </sharedItems>
    </cacheField>
    <cacheField name="Discount (%)" numFmtId="0">
      <sharedItems containsSemiMixedTypes="0" containsString="0" containsNumber="1" containsInteger="1" minValue="5" maxValue="20" count="15">
        <n v="10"/>
        <n v="15"/>
        <n v="5"/>
        <n v="20"/>
        <n v="12"/>
        <n v="8"/>
        <n v="18"/>
        <n v="11"/>
        <n v="7"/>
        <n v="16"/>
        <n v="14"/>
        <n v="6"/>
        <n v="9"/>
        <n v="13"/>
        <n v="17"/>
      </sharedItems>
    </cacheField>
    <cacheField name="Profit Margin (%)" numFmtId="0">
      <sharedItems containsSemiMixedTypes="0" containsString="0" containsNumber="1" containsInteger="1" minValue="18" maxValue="30"/>
    </cacheField>
    <cacheField name="Total Sales Amount" numFmtId="0">
      <sharedItems containsSemiMixedTypes="0" containsString="0" containsNumber="1" containsInteger="1" minValue="200000" maxValue="1250000"/>
    </cacheField>
  </cacheFields>
  <extLst>
    <ext xmlns:x14="http://schemas.microsoft.com/office/spreadsheetml/2009/9/main" uri="{725AE2AE-9491-48be-B2B4-4EB974FC3084}">
      <x14:pivotCacheDefinition pivotCacheId="20745060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refreshedDate="46064.632703009258" createdVersion="7" refreshedVersion="7" minRefreshableVersion="3" recordCount="90" xr:uid="{0AE32FFB-5FFB-4E44-B2EC-F6D16085E159}">
  <cacheSource type="worksheet">
    <worksheetSource ref="A3:I93" sheet="Class"/>
  </cacheSource>
  <cacheFields count="9">
    <cacheField name="Date" numFmtId="14">
      <sharedItems containsSemiMixedTypes="0" containsNonDate="0" containsDate="1" containsString="0" minDate="2024-01-01T00:00:00" maxDate="2024-04-01T00:00:00" count="9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Region" numFmtId="0">
      <sharedItems/>
    </cacheField>
    <cacheField name="Salesperson" numFmtId="0">
      <sharedItems/>
    </cacheField>
    <cacheField name="Product" numFmtId="0">
      <sharedItems count="3">
        <s v="Product X"/>
        <s v="Product Y"/>
        <s v="Product Z"/>
      </sharedItems>
    </cacheField>
    <cacheField name="Quantity Sold" numFmtId="0">
      <sharedItems containsSemiMixedTypes="0" containsString="0" containsNumber="1" containsInteger="1" minValue="100" maxValue="250"/>
    </cacheField>
    <cacheField name="Sales Amount" numFmtId="0">
      <sharedItems containsSemiMixedTypes="0" containsString="0" containsNumber="1" containsInteger="1" minValue="2000" maxValue="5000"/>
    </cacheField>
    <cacheField name="Discount (%)" numFmtId="0">
      <sharedItems containsSemiMixedTypes="0" containsString="0" containsNumber="1" containsInteger="1" minValue="5" maxValue="20"/>
    </cacheField>
    <cacheField name="Profit Margin (%)" numFmtId="0">
      <sharedItems containsSemiMixedTypes="0" containsString="0" containsNumber="1" containsInteger="1" minValue="18" maxValue="30"/>
    </cacheField>
    <cacheField name="Total Sales Amount" numFmtId="0">
      <sharedItems containsSemiMixedTypes="0" containsString="0" containsNumber="1" containsInteger="1" minValue="200000" maxValue="125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RUN" refreshedDate="46064.642682986108" createdVersion="7" refreshedVersion="7" minRefreshableVersion="3" recordCount="90" xr:uid="{8AEB6CFA-BF19-4C9A-8F96-828DA584EBCC}">
  <cacheSource type="worksheet">
    <worksheetSource ref="A3:I93" sheet="Class"/>
  </cacheSource>
  <cacheFields count="9">
    <cacheField name="Date" numFmtId="14">
      <sharedItems containsSemiMixedTypes="0" containsNonDate="0" containsDate="1" containsString="0" minDate="2024-01-01T00:00:00" maxDate="2024-04-01T00:00:00" count="9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 name="Region" numFmtId="0">
      <sharedItems/>
    </cacheField>
    <cacheField name="Salesperson" numFmtId="0">
      <sharedItems count="4">
        <s v="Arun Kumar"/>
        <s v="Priya Sharma"/>
        <s v="Rajesh Patel"/>
        <s v="Meera Reddy"/>
      </sharedItems>
    </cacheField>
    <cacheField name="Product" numFmtId="0">
      <sharedItems/>
    </cacheField>
    <cacheField name="Quantity Sold" numFmtId="0">
      <sharedItems containsSemiMixedTypes="0" containsString="0" containsNumber="1" containsInteger="1" minValue="100" maxValue="250"/>
    </cacheField>
    <cacheField name="Sales Amount" numFmtId="0">
      <sharedItems containsSemiMixedTypes="0" containsString="0" containsNumber="1" containsInteger="1" minValue="2000" maxValue="5000"/>
    </cacheField>
    <cacheField name="Discount (%)" numFmtId="0">
      <sharedItems containsSemiMixedTypes="0" containsString="0" containsNumber="1" containsInteger="1" minValue="5" maxValue="20"/>
    </cacheField>
    <cacheField name="Profit Margin (%)" numFmtId="0">
      <sharedItems containsSemiMixedTypes="0" containsString="0" containsNumber="1" containsInteger="1" minValue="18" maxValue="30"/>
    </cacheField>
    <cacheField name="Total Sales Amount" numFmtId="0">
      <sharedItems containsSemiMixedTypes="0" containsString="0" containsNumber="1" containsInteger="1" minValue="200000" maxValue="12500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140.754668402777" backgroundQuery="1" createdVersion="7" refreshedVersion="8" minRefreshableVersion="3" recordCount="0" supportSubquery="1" supportAdvancedDrill="1" xr:uid="{0E74E854-F58D-461E-9287-749DB7948469}">
  <cacheSource type="external" connectionId="1"/>
  <cacheFields count="3">
    <cacheField name="[Range].[Region].[Region]" caption="Region" numFmtId="0" hierarchy="1" level="1">
      <sharedItems count="4">
        <s v="East"/>
        <s v="North"/>
        <s v="South"/>
        <s v="West"/>
      </sharedItems>
    </cacheField>
    <cacheField name="[Measures].[Sum of Quantity Sold]" caption="Sum of Quantity Sold" numFmtId="0" hierarchy="14" level="32767"/>
    <cacheField name="[Range].[Date (Month)].[Date (Month)]" caption="Date (Month)" numFmtId="0" hierarchy="9"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Salesperson]" caption="Salesperson" attribute="1" defaultMemberUniqueName="[Range].[Salesperson].[All]" allUniqueName="[Range].[Salespers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Sold]" caption="Quantity Sold" attribute="1" defaultMemberUniqueName="[Range].[Quantity Sold].[All]" allUniqueName="[Range].[Quantity Sold].[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20" unbalanced="0"/>
    <cacheHierarchy uniqueName="[Range].[Total Sales Amount]" caption="Total Sales Amount" attribute="1" defaultMemberUniqueName="[Range].[Total Sales Amount].[All]" allUniqueName="[Range].[Total Sales 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Amount]" caption="Sum of Total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6"/>
        </ext>
      </extLst>
    </cacheHierarchy>
    <cacheHierarchy uniqueName="[Measures].[Count of Quantity Sold]" caption="Count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5"/>
        </ext>
      </extLst>
    </cacheHierarchy>
    <cacheHierarchy uniqueName="[Measures].[Max of Quantity Sold]" caption="Max of Quantity Sol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140.754669097223" backgroundQuery="1" createdVersion="7" refreshedVersion="8" minRefreshableVersion="3" recordCount="0" supportSubquery="1" supportAdvancedDrill="1" xr:uid="{26F1A16B-29B3-47B7-9136-73CE26B5F093}">
  <cacheSource type="external" connectionId="1"/>
  <cacheFields count="3">
    <cacheField name="[Range].[Salesperson].[Salesperson]" caption="Salesperson" numFmtId="0" hierarchy="2" level="1">
      <sharedItems count="4">
        <s v="Arun Kumar"/>
        <s v="Meera Reddy"/>
        <s v="Priya Sharma"/>
        <s v="Rajesh Patel"/>
      </sharedItems>
    </cacheField>
    <cacheField name="[Measures].[Sum of Total Sales Amount]" caption="Sum of Total Sales Amount" numFmtId="0" hierarchy="13" level="32767"/>
    <cacheField name="[Range].[Date (Month)].[Date (Month)]" caption="Date (Month)" numFmtId="0" hierarchy="9"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cacheHierarchy uniqueName="[Range].[Quantity Sold]" caption="Quantity Sold" attribute="1" defaultMemberUniqueName="[Range].[Quantity Sold].[All]" allUniqueName="[Range].[Quantity Sold].[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20" unbalanced="0"/>
    <cacheHierarchy uniqueName="[Range].[Total Sales Amount]" caption="Total Sales Amount" attribute="1" defaultMemberUniqueName="[Range].[Total Sales Amount].[All]" allUniqueName="[Range].[Total Sales 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Amount]" caption="Sum of Total Sales Amount"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6"/>
        </ext>
      </extLst>
    </cacheHierarchy>
    <cacheHierarchy uniqueName="[Measures].[Count of Quantity Sold]" caption="Count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5"/>
        </ext>
      </extLst>
    </cacheHierarchy>
    <cacheHierarchy uniqueName="[Measures].[Max of Quantity Sold]" caption="Max of Quantity Sol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140.754669560185" backgroundQuery="1" createdVersion="7" refreshedVersion="8" minRefreshableVersion="3" recordCount="0" supportSubquery="1" supportAdvancedDrill="1" xr:uid="{B0708A9C-F2D6-48FA-ADE0-04192DD622B3}">
  <cacheSource type="external" connectionId="1"/>
  <cacheFields count="3">
    <cacheField name="[Range].[Product].[Product]" caption="Product" numFmtId="0" hierarchy="3" level="1">
      <sharedItems count="3">
        <s v="Product X"/>
        <s v="Product Y"/>
        <s v="Product Z"/>
      </sharedItems>
    </cacheField>
    <cacheField name="[Measures].[Sum of Quantity Sold]" caption="Sum of Quantity Sold" numFmtId="0" hierarchy="14" level="32767"/>
    <cacheField name="[Range].[Date (Month)].[Date (Month)]" caption="Date (Month)" numFmtId="0" hierarchy="9"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Sold]" caption="Quantity Sold" attribute="1" defaultMemberUniqueName="[Range].[Quantity Sold].[All]" allUniqueName="[Range].[Quantity Sold].[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20" unbalanced="0"/>
    <cacheHierarchy uniqueName="[Range].[Total Sales Amount]" caption="Total Sales Amount" attribute="1" defaultMemberUniqueName="[Range].[Total Sales Amount].[All]" allUniqueName="[Range].[Total Sales 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Amount]" caption="Sum of Total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6"/>
        </ext>
      </extLst>
    </cacheHierarchy>
    <cacheHierarchy uniqueName="[Measures].[Count of Quantity Sold]" caption="Count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5"/>
        </ext>
      </extLst>
    </cacheHierarchy>
    <cacheHierarchy uniqueName="[Measures].[Max of Quantity Sold]" caption="Max of Quantity Sol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140.754670138886" backgroundQuery="1" createdVersion="7" refreshedVersion="8" minRefreshableVersion="3" recordCount="0" supportSubquery="1" supportAdvancedDrill="1" xr:uid="{45CCD03F-64CA-4148-A462-113CF70A4DDA}">
  <cacheSource type="external" connectionId="1"/>
  <cacheFields count="3">
    <cacheField name="[Measures].[Sum of Sales Amount]" caption="Sum of Sales Amount" numFmtId="0" hierarchy="18" level="32767"/>
    <cacheField name="[Measures].[Sum of Profit Margin (%)]" caption="Sum of Profit Margin (%)" numFmtId="0" hierarchy="15" level="32767"/>
    <cacheField name="[Range].[Date (Month)].[Date (Month)]" caption="Date (Month)" numFmtId="0" hierarchy="9" level="1">
      <sharedItems count="3">
        <s v="Jan"/>
        <s v="Feb"/>
        <s v="Mar"/>
      </sharedItems>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Sold]" caption="Quantity Sold" attribute="1" defaultMemberUniqueName="[Range].[Quantity Sold].[All]" allUniqueName="[Range].[Quantity Sold].[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20" unbalanced="0"/>
    <cacheHierarchy uniqueName="[Range].[Total Sales Amount]" caption="Total Sales Amount" attribute="1" defaultMemberUniqueName="[Range].[Total Sales Amount].[All]" allUniqueName="[Range].[Total Sales 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Amount]" caption="Sum of Total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6"/>
        </ext>
      </extLst>
    </cacheHierarchy>
    <cacheHierarchy uniqueName="[Measures].[Count of Quantity Sold]" caption="Count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Sales Amount]" caption="Sum of Sales Amount" measure="1" displayFolder="" measureGroup="Range" count="0" oneField="1" hidden="1">
      <fieldsUsage count="1">
        <fieldUsage x="0"/>
      </fieldsUsage>
      <extLst>
        <ext xmlns:x15="http://schemas.microsoft.com/office/spreadsheetml/2010/11/main" uri="{B97F6D7D-B522-45F9-BDA1-12C45D357490}">
          <x15:cacheHierarchy aggregatedColumn="5"/>
        </ext>
      </extLst>
    </cacheHierarchy>
    <cacheHierarchy uniqueName="[Measures].[Max of Quantity Sold]" caption="Max of Quantity Sol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140.754670486109" backgroundQuery="1" createdVersion="7" refreshedVersion="8" minRefreshableVersion="3" recordCount="0" supportSubquery="1" supportAdvancedDrill="1" xr:uid="{869443BD-3C15-4B98-A2DC-E2A41728572E}">
  <cacheSource type="external" connectionId="1"/>
  <cacheFields count="3">
    <cacheField name="[Range].[Salesperson].[Salesperson]" caption="Salesperson" numFmtId="0" hierarchy="2" level="1">
      <sharedItems count="4">
        <s v="Arun Kumar"/>
        <s v="Meera Reddy"/>
        <s v="Priya Sharma"/>
        <s v="Rajesh Patel"/>
      </sharedItems>
    </cacheField>
    <cacheField name="[Measures].[Sum of Discount (%)]" caption="Sum of Discount (%)" numFmtId="0" hierarchy="16" level="32767"/>
    <cacheField name="[Range].[Date (Month)].[Date (Month)]" caption="Date (Month)" numFmtId="0" hierarchy="9" level="1">
      <sharedItems containsSemiMixedTypes="0" containsNonDate="0" containsString="0"/>
    </cacheField>
  </cacheFields>
  <cacheHierarchies count="20">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cacheHierarchy uniqueName="[Range].[Quantity Sold]" caption="Quantity Sold" attribute="1" defaultMemberUniqueName="[Range].[Quantity Sold].[All]" allUniqueName="[Range].[Quantity Sold].[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20" unbalanced="0"/>
    <cacheHierarchy uniqueName="[Range].[Total Sales Amount]" caption="Total Sales Amount" attribute="1" defaultMemberUniqueName="[Range].[Total Sales Amount].[All]" allUniqueName="[Range].[Total Sales 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Amount]" caption="Sum of Total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Quantity Sold]" caption="Count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Sales Amount]" caption="Sum of Sales Amount" measure="1" displayFolder="" measureGroup="Range" count="0" hidden="1">
      <extLst>
        <ext xmlns:x15="http://schemas.microsoft.com/office/spreadsheetml/2010/11/main" uri="{B97F6D7D-B522-45F9-BDA1-12C45D357490}">
          <x15:cacheHierarchy aggregatedColumn="5"/>
        </ext>
      </extLst>
    </cacheHierarchy>
    <cacheHierarchy uniqueName="[Measures].[Max of Quantity Sold]" caption="Max of Quantity Sold" measure="1" displayFolder="" measureGroup="Range"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RUN" refreshedDate="46070.974535069443" backgroundQuery="1" createdVersion="3" refreshedVersion="7" minRefreshableVersion="3" recordCount="0" supportSubquery="1" supportAdvancedDrill="1" xr:uid="{6C23325F-7808-4934-8A56-65F7AFDC7B7B}">
  <cacheSource type="external" connectionId="1">
    <extLst>
      <ext xmlns:x14="http://schemas.microsoft.com/office/spreadsheetml/2009/9/main" uri="{F057638F-6D5F-4e77-A914-E7F072B9BCA8}">
        <x14:sourceConnection name="ThisWorkbookDataModel"/>
      </ext>
    </extLst>
  </cacheSource>
  <cacheFields count="0"/>
  <cacheHierarchies count="17">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alesperson]" caption="Salesperson" attribute="1" defaultMemberUniqueName="[Range].[Salesperson].[All]" allUniqueName="[Range].[Salespers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Sold]" caption="Quantity Sold" attribute="1" defaultMemberUniqueName="[Range].[Quantity Sold].[All]" allUniqueName="[Range].[Quantity Sold].[All]" dimensionUniqueName="[Range]" displayFolder="" count="0" memberValueDatatype="20" unbalanced="0"/>
    <cacheHierarchy uniqueName="[Range].[Sales Amount]" caption="Sales Amount" attribute="1" defaultMemberUniqueName="[Range].[Sales Amount].[All]" allUniqueName="[Range].[Sales Amount].[All]" dimensionUniqueName="[Range]" displayFolder="" count="0" memberValueDatatype="20" unbalanced="0"/>
    <cacheHierarchy uniqueName="[Range].[Discount (%)]" caption="Discount (%)" attribute="1" defaultMemberUniqueName="[Range].[Discount (%)].[All]" allUniqueName="[Range].[Discount (%)].[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20" unbalanced="0"/>
    <cacheHierarchy uniqueName="[Range].[Total Sales Amount]" caption="Total Sales Amount" attribute="1" defaultMemberUniqueName="[Range].[Total Sales Amount].[All]" allUniqueName="[Range].[Total Sales Amount].[All]" dimensionUniqueName="[Range]" displayFolder="" count="0" memberValueDatatype="20" unbalanced="0"/>
    <cacheHierarchy uniqueName="[Range].[Date (Month)]" caption="Date (Month)" attribute="1" defaultMemberUniqueName="[Range].[Date (Month)].[All]" allUniqueName="[Range].[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Amount]" caption="Sum of Total Sales Amount" measure="1" displayFolder="" measureGroup="Range" count="0" hidden="1">
      <extLst>
        <ext xmlns:x15="http://schemas.microsoft.com/office/spreadsheetml/2010/11/main" uri="{B97F6D7D-B522-45F9-BDA1-12C45D357490}">
          <x15:cacheHierarchy aggregatedColumn="8"/>
        </ext>
      </extLst>
    </cacheHierarchy>
    <cacheHierarchy uniqueName="[Measures].[Sum of Quantity Sold]" caption="Sum of Quantity Sold" measure="1" displayFolder="" measureGroup="Range" count="0" hidden="1">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Range" count="0" hidden="1">
      <extLst>
        <ext xmlns:x15="http://schemas.microsoft.com/office/spreadsheetml/2010/11/main" uri="{B97F6D7D-B522-45F9-BDA1-12C45D357490}">
          <x15:cacheHierarchy aggregatedColumn="7"/>
        </ext>
      </extLst>
    </cacheHierarchy>
    <cacheHierarchy uniqueName="[Measures].[Sum of Discount (%)]" caption="Sum of Discount (%)" measure="1" displayFolder="" measureGroup="Rang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64021178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x v="0"/>
    <x v="0"/>
    <n v="150"/>
    <x v="0"/>
    <x v="0"/>
    <n v="20"/>
    <n v="450000"/>
  </r>
  <r>
    <x v="1"/>
    <x v="1"/>
    <x v="1"/>
    <x v="1"/>
    <n v="200"/>
    <x v="1"/>
    <x v="1"/>
    <n v="25"/>
    <n v="800000"/>
  </r>
  <r>
    <x v="2"/>
    <x v="2"/>
    <x v="2"/>
    <x v="0"/>
    <n v="120"/>
    <x v="2"/>
    <x v="2"/>
    <n v="18"/>
    <n v="288000"/>
  </r>
  <r>
    <x v="3"/>
    <x v="3"/>
    <x v="3"/>
    <x v="2"/>
    <n v="250"/>
    <x v="3"/>
    <x v="3"/>
    <n v="30"/>
    <n v="1250000"/>
  </r>
  <r>
    <x v="4"/>
    <x v="0"/>
    <x v="0"/>
    <x v="1"/>
    <n v="100"/>
    <x v="4"/>
    <x v="0"/>
    <n v="22"/>
    <n v="200000"/>
  </r>
  <r>
    <x v="5"/>
    <x v="1"/>
    <x v="1"/>
    <x v="0"/>
    <n v="180"/>
    <x v="5"/>
    <x v="4"/>
    <n v="19"/>
    <n v="648000"/>
  </r>
  <r>
    <x v="6"/>
    <x v="2"/>
    <x v="2"/>
    <x v="1"/>
    <n v="150"/>
    <x v="0"/>
    <x v="5"/>
    <n v="21"/>
    <n v="450000"/>
  </r>
  <r>
    <x v="7"/>
    <x v="3"/>
    <x v="3"/>
    <x v="0"/>
    <n v="200"/>
    <x v="1"/>
    <x v="1"/>
    <n v="27"/>
    <n v="800000"/>
  </r>
  <r>
    <x v="8"/>
    <x v="0"/>
    <x v="0"/>
    <x v="2"/>
    <n v="170"/>
    <x v="6"/>
    <x v="6"/>
    <n v="23"/>
    <n v="578000"/>
  </r>
  <r>
    <x v="9"/>
    <x v="1"/>
    <x v="1"/>
    <x v="2"/>
    <n v="130"/>
    <x v="7"/>
    <x v="0"/>
    <n v="20"/>
    <n v="338000"/>
  </r>
  <r>
    <x v="10"/>
    <x v="2"/>
    <x v="2"/>
    <x v="0"/>
    <n v="160"/>
    <x v="8"/>
    <x v="2"/>
    <n v="22"/>
    <n v="512000"/>
  </r>
  <r>
    <x v="11"/>
    <x v="3"/>
    <x v="3"/>
    <x v="1"/>
    <n v="180"/>
    <x v="5"/>
    <x v="4"/>
    <n v="25"/>
    <n v="648000"/>
  </r>
  <r>
    <x v="12"/>
    <x v="0"/>
    <x v="0"/>
    <x v="1"/>
    <n v="140"/>
    <x v="9"/>
    <x v="7"/>
    <n v="24"/>
    <n v="392000"/>
  </r>
  <r>
    <x v="13"/>
    <x v="1"/>
    <x v="1"/>
    <x v="0"/>
    <n v="150"/>
    <x v="0"/>
    <x v="5"/>
    <n v="20"/>
    <n v="450000"/>
  </r>
  <r>
    <x v="14"/>
    <x v="2"/>
    <x v="2"/>
    <x v="2"/>
    <n v="190"/>
    <x v="10"/>
    <x v="8"/>
    <n v="19"/>
    <n v="722000"/>
  </r>
  <r>
    <x v="15"/>
    <x v="3"/>
    <x v="3"/>
    <x v="2"/>
    <n v="210"/>
    <x v="11"/>
    <x v="9"/>
    <n v="28"/>
    <n v="882000"/>
  </r>
  <r>
    <x v="16"/>
    <x v="0"/>
    <x v="0"/>
    <x v="2"/>
    <n v="160"/>
    <x v="8"/>
    <x v="4"/>
    <n v="22"/>
    <n v="512000"/>
  </r>
  <r>
    <x v="17"/>
    <x v="1"/>
    <x v="1"/>
    <x v="1"/>
    <n v="170"/>
    <x v="6"/>
    <x v="10"/>
    <n v="26"/>
    <n v="578000"/>
  </r>
  <r>
    <x v="18"/>
    <x v="2"/>
    <x v="2"/>
    <x v="0"/>
    <n v="140"/>
    <x v="9"/>
    <x v="11"/>
    <n v="21"/>
    <n v="392000"/>
  </r>
  <r>
    <x v="19"/>
    <x v="3"/>
    <x v="3"/>
    <x v="1"/>
    <n v="220"/>
    <x v="12"/>
    <x v="6"/>
    <n v="29"/>
    <n v="968000"/>
  </r>
  <r>
    <x v="20"/>
    <x v="0"/>
    <x v="0"/>
    <x v="0"/>
    <n v="130"/>
    <x v="7"/>
    <x v="7"/>
    <n v="23"/>
    <n v="338000"/>
  </r>
  <r>
    <x v="21"/>
    <x v="1"/>
    <x v="1"/>
    <x v="2"/>
    <n v="140"/>
    <x v="9"/>
    <x v="12"/>
    <n v="20"/>
    <n v="392000"/>
  </r>
  <r>
    <x v="22"/>
    <x v="2"/>
    <x v="2"/>
    <x v="1"/>
    <n v="190"/>
    <x v="10"/>
    <x v="0"/>
    <n v="22"/>
    <n v="722000"/>
  </r>
  <r>
    <x v="23"/>
    <x v="3"/>
    <x v="3"/>
    <x v="0"/>
    <n v="160"/>
    <x v="8"/>
    <x v="13"/>
    <n v="26"/>
    <n v="512000"/>
  </r>
  <r>
    <x v="24"/>
    <x v="0"/>
    <x v="0"/>
    <x v="2"/>
    <n v="180"/>
    <x v="5"/>
    <x v="1"/>
    <n v="24"/>
    <n v="648000"/>
  </r>
  <r>
    <x v="25"/>
    <x v="1"/>
    <x v="1"/>
    <x v="0"/>
    <n v="170"/>
    <x v="6"/>
    <x v="5"/>
    <n v="21"/>
    <n v="578000"/>
  </r>
  <r>
    <x v="26"/>
    <x v="2"/>
    <x v="2"/>
    <x v="2"/>
    <n v="200"/>
    <x v="1"/>
    <x v="4"/>
    <n v="28"/>
    <n v="800000"/>
  </r>
  <r>
    <x v="27"/>
    <x v="3"/>
    <x v="3"/>
    <x v="1"/>
    <n v="150"/>
    <x v="0"/>
    <x v="9"/>
    <n v="25"/>
    <n v="450000"/>
  </r>
  <r>
    <x v="28"/>
    <x v="0"/>
    <x v="0"/>
    <x v="1"/>
    <n v="110"/>
    <x v="13"/>
    <x v="10"/>
    <n v="20"/>
    <n v="242000"/>
  </r>
  <r>
    <x v="29"/>
    <x v="1"/>
    <x v="1"/>
    <x v="2"/>
    <n v="180"/>
    <x v="5"/>
    <x v="7"/>
    <n v="23"/>
    <n v="648000"/>
  </r>
  <r>
    <x v="30"/>
    <x v="0"/>
    <x v="0"/>
    <x v="1"/>
    <n v="160"/>
    <x v="8"/>
    <x v="4"/>
    <n v="22"/>
    <n v="512000"/>
  </r>
  <r>
    <x v="31"/>
    <x v="1"/>
    <x v="1"/>
    <x v="2"/>
    <n v="140"/>
    <x v="9"/>
    <x v="10"/>
    <n v="25"/>
    <n v="392000"/>
  </r>
  <r>
    <x v="32"/>
    <x v="2"/>
    <x v="2"/>
    <x v="0"/>
    <n v="110"/>
    <x v="13"/>
    <x v="5"/>
    <n v="20"/>
    <n v="242000"/>
  </r>
  <r>
    <x v="33"/>
    <x v="3"/>
    <x v="3"/>
    <x v="1"/>
    <n v="230"/>
    <x v="14"/>
    <x v="0"/>
    <n v="28"/>
    <n v="1058000"/>
  </r>
  <r>
    <x v="34"/>
    <x v="0"/>
    <x v="0"/>
    <x v="2"/>
    <n v="190"/>
    <x v="10"/>
    <x v="1"/>
    <n v="24"/>
    <n v="722000"/>
  </r>
  <r>
    <x v="35"/>
    <x v="1"/>
    <x v="1"/>
    <x v="0"/>
    <n v="140"/>
    <x v="9"/>
    <x v="7"/>
    <n v="21"/>
    <n v="392000"/>
  </r>
  <r>
    <x v="36"/>
    <x v="2"/>
    <x v="2"/>
    <x v="1"/>
    <n v="160"/>
    <x v="8"/>
    <x v="8"/>
    <n v="22"/>
    <n v="512000"/>
  </r>
  <r>
    <x v="37"/>
    <x v="3"/>
    <x v="3"/>
    <x v="2"/>
    <n v="220"/>
    <x v="12"/>
    <x v="6"/>
    <n v="30"/>
    <n v="968000"/>
  </r>
  <r>
    <x v="38"/>
    <x v="0"/>
    <x v="0"/>
    <x v="0"/>
    <n v="140"/>
    <x v="9"/>
    <x v="4"/>
    <n v="23"/>
    <n v="392000"/>
  </r>
  <r>
    <x v="39"/>
    <x v="1"/>
    <x v="1"/>
    <x v="1"/>
    <n v="120"/>
    <x v="2"/>
    <x v="0"/>
    <n v="21"/>
    <n v="288000"/>
  </r>
  <r>
    <x v="40"/>
    <x v="2"/>
    <x v="2"/>
    <x v="2"/>
    <n v="170"/>
    <x v="6"/>
    <x v="12"/>
    <n v="19"/>
    <n v="578000"/>
  </r>
  <r>
    <x v="41"/>
    <x v="3"/>
    <x v="3"/>
    <x v="0"/>
    <n v="200"/>
    <x v="1"/>
    <x v="10"/>
    <n v="26"/>
    <n v="800000"/>
  </r>
  <r>
    <x v="42"/>
    <x v="0"/>
    <x v="0"/>
    <x v="1"/>
    <n v="150"/>
    <x v="0"/>
    <x v="7"/>
    <n v="22"/>
    <n v="450000"/>
  </r>
  <r>
    <x v="43"/>
    <x v="1"/>
    <x v="1"/>
    <x v="2"/>
    <n v="180"/>
    <x v="5"/>
    <x v="9"/>
    <n v="28"/>
    <n v="648000"/>
  </r>
  <r>
    <x v="44"/>
    <x v="2"/>
    <x v="2"/>
    <x v="0"/>
    <n v="130"/>
    <x v="7"/>
    <x v="11"/>
    <n v="20"/>
    <n v="338000"/>
  </r>
  <r>
    <x v="45"/>
    <x v="3"/>
    <x v="3"/>
    <x v="1"/>
    <n v="190"/>
    <x v="10"/>
    <x v="4"/>
    <n v="27"/>
    <n v="722000"/>
  </r>
  <r>
    <x v="46"/>
    <x v="0"/>
    <x v="0"/>
    <x v="2"/>
    <n v="210"/>
    <x v="11"/>
    <x v="14"/>
    <n v="25"/>
    <n v="882000"/>
  </r>
  <r>
    <x v="47"/>
    <x v="1"/>
    <x v="1"/>
    <x v="0"/>
    <n v="160"/>
    <x v="8"/>
    <x v="5"/>
    <n v="22"/>
    <n v="512000"/>
  </r>
  <r>
    <x v="48"/>
    <x v="2"/>
    <x v="2"/>
    <x v="1"/>
    <n v="180"/>
    <x v="5"/>
    <x v="12"/>
    <n v="23"/>
    <n v="648000"/>
  </r>
  <r>
    <x v="49"/>
    <x v="3"/>
    <x v="3"/>
    <x v="2"/>
    <n v="170"/>
    <x v="6"/>
    <x v="10"/>
    <n v="26"/>
    <n v="578000"/>
  </r>
  <r>
    <x v="50"/>
    <x v="0"/>
    <x v="0"/>
    <x v="0"/>
    <n v="150"/>
    <x v="0"/>
    <x v="13"/>
    <n v="24"/>
    <n v="450000"/>
  </r>
  <r>
    <x v="51"/>
    <x v="1"/>
    <x v="1"/>
    <x v="1"/>
    <n v="140"/>
    <x v="9"/>
    <x v="4"/>
    <n v="23"/>
    <n v="392000"/>
  </r>
  <r>
    <x v="52"/>
    <x v="2"/>
    <x v="2"/>
    <x v="2"/>
    <n v="200"/>
    <x v="1"/>
    <x v="0"/>
    <n v="27"/>
    <n v="800000"/>
  </r>
  <r>
    <x v="53"/>
    <x v="3"/>
    <x v="3"/>
    <x v="0"/>
    <n v="170"/>
    <x v="6"/>
    <x v="1"/>
    <n v="28"/>
    <n v="578000"/>
  </r>
  <r>
    <x v="54"/>
    <x v="0"/>
    <x v="0"/>
    <x v="1"/>
    <n v="120"/>
    <x v="2"/>
    <x v="10"/>
    <n v="22"/>
    <n v="288000"/>
  </r>
  <r>
    <x v="55"/>
    <x v="1"/>
    <x v="1"/>
    <x v="2"/>
    <n v="190"/>
    <x v="10"/>
    <x v="7"/>
    <n v="20"/>
    <n v="722000"/>
  </r>
  <r>
    <x v="56"/>
    <x v="2"/>
    <x v="2"/>
    <x v="0"/>
    <n v="140"/>
    <x v="9"/>
    <x v="8"/>
    <n v="21"/>
    <n v="392000"/>
  </r>
  <r>
    <x v="57"/>
    <x v="3"/>
    <x v="3"/>
    <x v="1"/>
    <n v="200"/>
    <x v="1"/>
    <x v="9"/>
    <n v="29"/>
    <n v="800000"/>
  </r>
  <r>
    <x v="58"/>
    <x v="0"/>
    <x v="0"/>
    <x v="2"/>
    <n v="160"/>
    <x v="8"/>
    <x v="13"/>
    <n v="23"/>
    <n v="512000"/>
  </r>
  <r>
    <x v="59"/>
    <x v="1"/>
    <x v="1"/>
    <x v="0"/>
    <n v="180"/>
    <x v="5"/>
    <x v="0"/>
    <n v="24"/>
    <n v="648000"/>
  </r>
  <r>
    <x v="60"/>
    <x v="2"/>
    <x v="2"/>
    <x v="1"/>
    <n v="220"/>
    <x v="12"/>
    <x v="12"/>
    <n v="25"/>
    <n v="968000"/>
  </r>
  <r>
    <x v="61"/>
    <x v="3"/>
    <x v="3"/>
    <x v="2"/>
    <n v="230"/>
    <x v="14"/>
    <x v="14"/>
    <n v="30"/>
    <n v="1058000"/>
  </r>
  <r>
    <x v="62"/>
    <x v="0"/>
    <x v="0"/>
    <x v="0"/>
    <n v="110"/>
    <x v="13"/>
    <x v="7"/>
    <n v="21"/>
    <n v="242000"/>
  </r>
  <r>
    <x v="63"/>
    <x v="1"/>
    <x v="1"/>
    <x v="1"/>
    <n v="130"/>
    <x v="7"/>
    <x v="5"/>
    <n v="22"/>
    <n v="338000"/>
  </r>
  <r>
    <x v="64"/>
    <x v="2"/>
    <x v="2"/>
    <x v="2"/>
    <n v="150"/>
    <x v="0"/>
    <x v="4"/>
    <n v="26"/>
    <n v="450000"/>
  </r>
  <r>
    <x v="65"/>
    <x v="3"/>
    <x v="3"/>
    <x v="0"/>
    <n v="140"/>
    <x v="9"/>
    <x v="13"/>
    <n v="23"/>
    <n v="392000"/>
  </r>
  <r>
    <x v="66"/>
    <x v="0"/>
    <x v="0"/>
    <x v="1"/>
    <n v="170"/>
    <x v="6"/>
    <x v="10"/>
    <n v="24"/>
    <n v="578000"/>
  </r>
  <r>
    <x v="67"/>
    <x v="1"/>
    <x v="1"/>
    <x v="2"/>
    <n v="160"/>
    <x v="8"/>
    <x v="9"/>
    <n v="27"/>
    <n v="512000"/>
  </r>
  <r>
    <x v="68"/>
    <x v="2"/>
    <x v="2"/>
    <x v="0"/>
    <n v="180"/>
    <x v="5"/>
    <x v="0"/>
    <n v="22"/>
    <n v="648000"/>
  </r>
  <r>
    <x v="69"/>
    <x v="3"/>
    <x v="3"/>
    <x v="1"/>
    <n v="150"/>
    <x v="0"/>
    <x v="1"/>
    <n v="29"/>
    <n v="450000"/>
  </r>
  <r>
    <x v="70"/>
    <x v="0"/>
    <x v="0"/>
    <x v="2"/>
    <n v="200"/>
    <x v="1"/>
    <x v="4"/>
    <n v="25"/>
    <n v="800000"/>
  </r>
  <r>
    <x v="71"/>
    <x v="1"/>
    <x v="1"/>
    <x v="0"/>
    <n v="140"/>
    <x v="9"/>
    <x v="7"/>
    <n v="20"/>
    <n v="392000"/>
  </r>
  <r>
    <x v="72"/>
    <x v="2"/>
    <x v="2"/>
    <x v="1"/>
    <n v="160"/>
    <x v="8"/>
    <x v="12"/>
    <n v="22"/>
    <n v="512000"/>
  </r>
  <r>
    <x v="73"/>
    <x v="3"/>
    <x v="3"/>
    <x v="2"/>
    <n v="190"/>
    <x v="10"/>
    <x v="13"/>
    <n v="26"/>
    <n v="722000"/>
  </r>
  <r>
    <x v="74"/>
    <x v="0"/>
    <x v="0"/>
    <x v="1"/>
    <n v="200"/>
    <x v="1"/>
    <x v="9"/>
    <n v="28"/>
    <n v="800000"/>
  </r>
  <r>
    <x v="75"/>
    <x v="1"/>
    <x v="1"/>
    <x v="2"/>
    <n v="180"/>
    <x v="5"/>
    <x v="1"/>
    <n v="30"/>
    <n v="648000"/>
  </r>
  <r>
    <x v="76"/>
    <x v="2"/>
    <x v="2"/>
    <x v="0"/>
    <n v="140"/>
    <x v="9"/>
    <x v="11"/>
    <n v="21"/>
    <n v="392000"/>
  </r>
  <r>
    <x v="77"/>
    <x v="3"/>
    <x v="3"/>
    <x v="1"/>
    <n v="220"/>
    <x v="12"/>
    <x v="6"/>
    <n v="27"/>
    <n v="968000"/>
  </r>
  <r>
    <x v="78"/>
    <x v="0"/>
    <x v="0"/>
    <x v="2"/>
    <n v="150"/>
    <x v="0"/>
    <x v="10"/>
    <n v="22"/>
    <n v="450000"/>
  </r>
  <r>
    <x v="79"/>
    <x v="1"/>
    <x v="1"/>
    <x v="0"/>
    <n v="160"/>
    <x v="8"/>
    <x v="13"/>
    <n v="24"/>
    <n v="512000"/>
  </r>
  <r>
    <x v="80"/>
    <x v="2"/>
    <x v="2"/>
    <x v="1"/>
    <n v="190"/>
    <x v="10"/>
    <x v="4"/>
    <n v="23"/>
    <n v="722000"/>
  </r>
  <r>
    <x v="81"/>
    <x v="3"/>
    <x v="3"/>
    <x v="2"/>
    <n v="210"/>
    <x v="11"/>
    <x v="9"/>
    <n v="28"/>
    <n v="882000"/>
  </r>
  <r>
    <x v="82"/>
    <x v="0"/>
    <x v="0"/>
    <x v="0"/>
    <n v="170"/>
    <x v="6"/>
    <x v="1"/>
    <n v="25"/>
    <n v="578000"/>
  </r>
  <r>
    <x v="83"/>
    <x v="1"/>
    <x v="1"/>
    <x v="1"/>
    <n v="140"/>
    <x v="9"/>
    <x v="0"/>
    <n v="22"/>
    <n v="392000"/>
  </r>
  <r>
    <x v="84"/>
    <x v="2"/>
    <x v="2"/>
    <x v="2"/>
    <n v="220"/>
    <x v="12"/>
    <x v="10"/>
    <n v="30"/>
    <n v="968000"/>
  </r>
  <r>
    <x v="85"/>
    <x v="3"/>
    <x v="3"/>
    <x v="0"/>
    <n v="130"/>
    <x v="7"/>
    <x v="4"/>
    <n v="23"/>
    <n v="338000"/>
  </r>
  <r>
    <x v="86"/>
    <x v="0"/>
    <x v="0"/>
    <x v="1"/>
    <n v="150"/>
    <x v="0"/>
    <x v="13"/>
    <n v="24"/>
    <n v="450000"/>
  </r>
  <r>
    <x v="87"/>
    <x v="1"/>
    <x v="1"/>
    <x v="2"/>
    <n v="200"/>
    <x v="1"/>
    <x v="7"/>
    <n v="21"/>
    <n v="800000"/>
  </r>
  <r>
    <x v="88"/>
    <x v="2"/>
    <x v="2"/>
    <x v="0"/>
    <n v="160"/>
    <x v="8"/>
    <x v="5"/>
    <n v="22"/>
    <n v="512000"/>
  </r>
  <r>
    <x v="89"/>
    <x v="3"/>
    <x v="3"/>
    <x v="1"/>
    <n v="180"/>
    <x v="5"/>
    <x v="14"/>
    <n v="28"/>
    <n v="648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s v="East"/>
    <s v="Arun Kumar"/>
    <x v="0"/>
    <n v="150"/>
    <n v="3000"/>
    <n v="10"/>
    <n v="20"/>
    <n v="450000"/>
  </r>
  <r>
    <x v="1"/>
    <s v="West"/>
    <s v="Priya Sharma"/>
    <x v="1"/>
    <n v="200"/>
    <n v="4000"/>
    <n v="15"/>
    <n v="25"/>
    <n v="800000"/>
  </r>
  <r>
    <x v="2"/>
    <s v="North"/>
    <s v="Rajesh Patel"/>
    <x v="0"/>
    <n v="120"/>
    <n v="2400"/>
    <n v="5"/>
    <n v="18"/>
    <n v="288000"/>
  </r>
  <r>
    <x v="3"/>
    <s v="South"/>
    <s v="Meera Reddy"/>
    <x v="2"/>
    <n v="250"/>
    <n v="5000"/>
    <n v="20"/>
    <n v="30"/>
    <n v="1250000"/>
  </r>
  <r>
    <x v="4"/>
    <s v="East"/>
    <s v="Arun Kumar"/>
    <x v="1"/>
    <n v="100"/>
    <n v="2000"/>
    <n v="10"/>
    <n v="22"/>
    <n v="200000"/>
  </r>
  <r>
    <x v="5"/>
    <s v="West"/>
    <s v="Priya Sharma"/>
    <x v="0"/>
    <n v="180"/>
    <n v="3600"/>
    <n v="12"/>
    <n v="19"/>
    <n v="648000"/>
  </r>
  <r>
    <x v="6"/>
    <s v="North"/>
    <s v="Rajesh Patel"/>
    <x v="1"/>
    <n v="150"/>
    <n v="3000"/>
    <n v="8"/>
    <n v="21"/>
    <n v="450000"/>
  </r>
  <r>
    <x v="7"/>
    <s v="South"/>
    <s v="Meera Reddy"/>
    <x v="0"/>
    <n v="200"/>
    <n v="4000"/>
    <n v="15"/>
    <n v="27"/>
    <n v="800000"/>
  </r>
  <r>
    <x v="8"/>
    <s v="East"/>
    <s v="Arun Kumar"/>
    <x v="2"/>
    <n v="170"/>
    <n v="3400"/>
    <n v="18"/>
    <n v="23"/>
    <n v="578000"/>
  </r>
  <r>
    <x v="9"/>
    <s v="West"/>
    <s v="Priya Sharma"/>
    <x v="2"/>
    <n v="130"/>
    <n v="2600"/>
    <n v="10"/>
    <n v="20"/>
    <n v="338000"/>
  </r>
  <r>
    <x v="10"/>
    <s v="North"/>
    <s v="Rajesh Patel"/>
    <x v="0"/>
    <n v="160"/>
    <n v="3200"/>
    <n v="5"/>
    <n v="22"/>
    <n v="512000"/>
  </r>
  <r>
    <x v="11"/>
    <s v="South"/>
    <s v="Meera Reddy"/>
    <x v="1"/>
    <n v="180"/>
    <n v="3600"/>
    <n v="12"/>
    <n v="25"/>
    <n v="648000"/>
  </r>
  <r>
    <x v="12"/>
    <s v="East"/>
    <s v="Arun Kumar"/>
    <x v="1"/>
    <n v="140"/>
    <n v="2800"/>
    <n v="11"/>
    <n v="24"/>
    <n v="392000"/>
  </r>
  <r>
    <x v="13"/>
    <s v="West"/>
    <s v="Priya Sharma"/>
    <x v="0"/>
    <n v="150"/>
    <n v="3000"/>
    <n v="8"/>
    <n v="20"/>
    <n v="450000"/>
  </r>
  <r>
    <x v="14"/>
    <s v="North"/>
    <s v="Rajesh Patel"/>
    <x v="2"/>
    <n v="190"/>
    <n v="3800"/>
    <n v="7"/>
    <n v="19"/>
    <n v="722000"/>
  </r>
  <r>
    <x v="15"/>
    <s v="South"/>
    <s v="Meera Reddy"/>
    <x v="2"/>
    <n v="210"/>
    <n v="4200"/>
    <n v="16"/>
    <n v="28"/>
    <n v="882000"/>
  </r>
  <r>
    <x v="16"/>
    <s v="East"/>
    <s v="Arun Kumar"/>
    <x v="2"/>
    <n v="160"/>
    <n v="3200"/>
    <n v="12"/>
    <n v="22"/>
    <n v="512000"/>
  </r>
  <r>
    <x v="17"/>
    <s v="West"/>
    <s v="Priya Sharma"/>
    <x v="1"/>
    <n v="170"/>
    <n v="3400"/>
    <n v="14"/>
    <n v="26"/>
    <n v="578000"/>
  </r>
  <r>
    <x v="18"/>
    <s v="North"/>
    <s v="Rajesh Patel"/>
    <x v="0"/>
    <n v="140"/>
    <n v="2800"/>
    <n v="6"/>
    <n v="21"/>
    <n v="392000"/>
  </r>
  <r>
    <x v="19"/>
    <s v="South"/>
    <s v="Meera Reddy"/>
    <x v="1"/>
    <n v="220"/>
    <n v="4400"/>
    <n v="18"/>
    <n v="29"/>
    <n v="968000"/>
  </r>
  <r>
    <x v="20"/>
    <s v="East"/>
    <s v="Arun Kumar"/>
    <x v="0"/>
    <n v="130"/>
    <n v="2600"/>
    <n v="11"/>
    <n v="23"/>
    <n v="338000"/>
  </r>
  <r>
    <x v="21"/>
    <s v="West"/>
    <s v="Priya Sharma"/>
    <x v="2"/>
    <n v="140"/>
    <n v="2800"/>
    <n v="9"/>
    <n v="20"/>
    <n v="392000"/>
  </r>
  <r>
    <x v="22"/>
    <s v="North"/>
    <s v="Rajesh Patel"/>
    <x v="1"/>
    <n v="190"/>
    <n v="3800"/>
    <n v="10"/>
    <n v="22"/>
    <n v="722000"/>
  </r>
  <r>
    <x v="23"/>
    <s v="South"/>
    <s v="Meera Reddy"/>
    <x v="0"/>
    <n v="160"/>
    <n v="3200"/>
    <n v="13"/>
    <n v="26"/>
    <n v="512000"/>
  </r>
  <r>
    <x v="24"/>
    <s v="East"/>
    <s v="Arun Kumar"/>
    <x v="2"/>
    <n v="180"/>
    <n v="3600"/>
    <n v="15"/>
    <n v="24"/>
    <n v="648000"/>
  </r>
  <r>
    <x v="25"/>
    <s v="West"/>
    <s v="Priya Sharma"/>
    <x v="0"/>
    <n v="170"/>
    <n v="3400"/>
    <n v="8"/>
    <n v="21"/>
    <n v="578000"/>
  </r>
  <r>
    <x v="26"/>
    <s v="North"/>
    <s v="Rajesh Patel"/>
    <x v="2"/>
    <n v="200"/>
    <n v="4000"/>
    <n v="12"/>
    <n v="28"/>
    <n v="800000"/>
  </r>
  <r>
    <x v="27"/>
    <s v="South"/>
    <s v="Meera Reddy"/>
    <x v="1"/>
    <n v="150"/>
    <n v="3000"/>
    <n v="16"/>
    <n v="25"/>
    <n v="450000"/>
  </r>
  <r>
    <x v="28"/>
    <s v="East"/>
    <s v="Arun Kumar"/>
    <x v="1"/>
    <n v="110"/>
    <n v="2200"/>
    <n v="14"/>
    <n v="20"/>
    <n v="242000"/>
  </r>
  <r>
    <x v="29"/>
    <s v="West"/>
    <s v="Priya Sharma"/>
    <x v="2"/>
    <n v="180"/>
    <n v="3600"/>
    <n v="11"/>
    <n v="23"/>
    <n v="648000"/>
  </r>
  <r>
    <x v="30"/>
    <s v="East"/>
    <s v="Arun Kumar"/>
    <x v="1"/>
    <n v="160"/>
    <n v="3200"/>
    <n v="12"/>
    <n v="22"/>
    <n v="512000"/>
  </r>
  <r>
    <x v="31"/>
    <s v="West"/>
    <s v="Priya Sharma"/>
    <x v="2"/>
    <n v="140"/>
    <n v="2800"/>
    <n v="14"/>
    <n v="25"/>
    <n v="392000"/>
  </r>
  <r>
    <x v="32"/>
    <s v="North"/>
    <s v="Rajesh Patel"/>
    <x v="0"/>
    <n v="110"/>
    <n v="2200"/>
    <n v="8"/>
    <n v="20"/>
    <n v="242000"/>
  </r>
  <r>
    <x v="33"/>
    <s v="South"/>
    <s v="Meera Reddy"/>
    <x v="1"/>
    <n v="230"/>
    <n v="4600"/>
    <n v="10"/>
    <n v="28"/>
    <n v="1058000"/>
  </r>
  <r>
    <x v="34"/>
    <s v="East"/>
    <s v="Arun Kumar"/>
    <x v="2"/>
    <n v="190"/>
    <n v="3800"/>
    <n v="15"/>
    <n v="24"/>
    <n v="722000"/>
  </r>
  <r>
    <x v="35"/>
    <s v="West"/>
    <s v="Priya Sharma"/>
    <x v="0"/>
    <n v="140"/>
    <n v="2800"/>
    <n v="11"/>
    <n v="21"/>
    <n v="392000"/>
  </r>
  <r>
    <x v="36"/>
    <s v="North"/>
    <s v="Rajesh Patel"/>
    <x v="1"/>
    <n v="160"/>
    <n v="3200"/>
    <n v="7"/>
    <n v="22"/>
    <n v="512000"/>
  </r>
  <r>
    <x v="37"/>
    <s v="South"/>
    <s v="Meera Reddy"/>
    <x v="2"/>
    <n v="220"/>
    <n v="4400"/>
    <n v="18"/>
    <n v="30"/>
    <n v="968000"/>
  </r>
  <r>
    <x v="38"/>
    <s v="East"/>
    <s v="Arun Kumar"/>
    <x v="0"/>
    <n v="140"/>
    <n v="2800"/>
    <n v="12"/>
    <n v="23"/>
    <n v="392000"/>
  </r>
  <r>
    <x v="39"/>
    <s v="West"/>
    <s v="Priya Sharma"/>
    <x v="1"/>
    <n v="120"/>
    <n v="2400"/>
    <n v="10"/>
    <n v="21"/>
    <n v="288000"/>
  </r>
  <r>
    <x v="40"/>
    <s v="North"/>
    <s v="Rajesh Patel"/>
    <x v="2"/>
    <n v="170"/>
    <n v="3400"/>
    <n v="9"/>
    <n v="19"/>
    <n v="578000"/>
  </r>
  <r>
    <x v="41"/>
    <s v="South"/>
    <s v="Meera Reddy"/>
    <x v="0"/>
    <n v="200"/>
    <n v="4000"/>
    <n v="14"/>
    <n v="26"/>
    <n v="800000"/>
  </r>
  <r>
    <x v="42"/>
    <s v="East"/>
    <s v="Arun Kumar"/>
    <x v="1"/>
    <n v="150"/>
    <n v="3000"/>
    <n v="11"/>
    <n v="22"/>
    <n v="450000"/>
  </r>
  <r>
    <x v="43"/>
    <s v="West"/>
    <s v="Priya Sharma"/>
    <x v="2"/>
    <n v="180"/>
    <n v="3600"/>
    <n v="16"/>
    <n v="28"/>
    <n v="648000"/>
  </r>
  <r>
    <x v="44"/>
    <s v="North"/>
    <s v="Rajesh Patel"/>
    <x v="0"/>
    <n v="130"/>
    <n v="2600"/>
    <n v="6"/>
    <n v="20"/>
    <n v="338000"/>
  </r>
  <r>
    <x v="45"/>
    <s v="South"/>
    <s v="Meera Reddy"/>
    <x v="1"/>
    <n v="190"/>
    <n v="3800"/>
    <n v="12"/>
    <n v="27"/>
    <n v="722000"/>
  </r>
  <r>
    <x v="46"/>
    <s v="East"/>
    <s v="Arun Kumar"/>
    <x v="2"/>
    <n v="210"/>
    <n v="4200"/>
    <n v="17"/>
    <n v="25"/>
    <n v="882000"/>
  </r>
  <r>
    <x v="47"/>
    <s v="West"/>
    <s v="Priya Sharma"/>
    <x v="0"/>
    <n v="160"/>
    <n v="3200"/>
    <n v="8"/>
    <n v="22"/>
    <n v="512000"/>
  </r>
  <r>
    <x v="48"/>
    <s v="North"/>
    <s v="Rajesh Patel"/>
    <x v="1"/>
    <n v="180"/>
    <n v="3600"/>
    <n v="9"/>
    <n v="23"/>
    <n v="648000"/>
  </r>
  <r>
    <x v="49"/>
    <s v="South"/>
    <s v="Meera Reddy"/>
    <x v="2"/>
    <n v="170"/>
    <n v="3400"/>
    <n v="14"/>
    <n v="26"/>
    <n v="578000"/>
  </r>
  <r>
    <x v="50"/>
    <s v="East"/>
    <s v="Arun Kumar"/>
    <x v="0"/>
    <n v="150"/>
    <n v="3000"/>
    <n v="13"/>
    <n v="24"/>
    <n v="450000"/>
  </r>
  <r>
    <x v="51"/>
    <s v="West"/>
    <s v="Priya Sharma"/>
    <x v="1"/>
    <n v="140"/>
    <n v="2800"/>
    <n v="12"/>
    <n v="23"/>
    <n v="392000"/>
  </r>
  <r>
    <x v="52"/>
    <s v="North"/>
    <s v="Rajesh Patel"/>
    <x v="2"/>
    <n v="200"/>
    <n v="4000"/>
    <n v="10"/>
    <n v="27"/>
    <n v="800000"/>
  </r>
  <r>
    <x v="53"/>
    <s v="South"/>
    <s v="Meera Reddy"/>
    <x v="0"/>
    <n v="170"/>
    <n v="3400"/>
    <n v="15"/>
    <n v="28"/>
    <n v="578000"/>
  </r>
  <r>
    <x v="54"/>
    <s v="East"/>
    <s v="Arun Kumar"/>
    <x v="1"/>
    <n v="120"/>
    <n v="2400"/>
    <n v="14"/>
    <n v="22"/>
    <n v="288000"/>
  </r>
  <r>
    <x v="55"/>
    <s v="West"/>
    <s v="Priya Sharma"/>
    <x v="2"/>
    <n v="190"/>
    <n v="3800"/>
    <n v="11"/>
    <n v="20"/>
    <n v="722000"/>
  </r>
  <r>
    <x v="56"/>
    <s v="North"/>
    <s v="Rajesh Patel"/>
    <x v="0"/>
    <n v="140"/>
    <n v="2800"/>
    <n v="7"/>
    <n v="21"/>
    <n v="392000"/>
  </r>
  <r>
    <x v="57"/>
    <s v="South"/>
    <s v="Meera Reddy"/>
    <x v="1"/>
    <n v="200"/>
    <n v="4000"/>
    <n v="16"/>
    <n v="29"/>
    <n v="800000"/>
  </r>
  <r>
    <x v="58"/>
    <s v="East"/>
    <s v="Arun Kumar"/>
    <x v="2"/>
    <n v="160"/>
    <n v="3200"/>
    <n v="13"/>
    <n v="23"/>
    <n v="512000"/>
  </r>
  <r>
    <x v="59"/>
    <s v="West"/>
    <s v="Priya Sharma"/>
    <x v="0"/>
    <n v="180"/>
    <n v="3600"/>
    <n v="10"/>
    <n v="24"/>
    <n v="648000"/>
  </r>
  <r>
    <x v="60"/>
    <s v="North"/>
    <s v="Rajesh Patel"/>
    <x v="1"/>
    <n v="220"/>
    <n v="4400"/>
    <n v="9"/>
    <n v="25"/>
    <n v="968000"/>
  </r>
  <r>
    <x v="61"/>
    <s v="South"/>
    <s v="Meera Reddy"/>
    <x v="2"/>
    <n v="230"/>
    <n v="4600"/>
    <n v="17"/>
    <n v="30"/>
    <n v="1058000"/>
  </r>
  <r>
    <x v="62"/>
    <s v="East"/>
    <s v="Arun Kumar"/>
    <x v="0"/>
    <n v="110"/>
    <n v="2200"/>
    <n v="11"/>
    <n v="21"/>
    <n v="242000"/>
  </r>
  <r>
    <x v="63"/>
    <s v="West"/>
    <s v="Priya Sharma"/>
    <x v="1"/>
    <n v="130"/>
    <n v="2600"/>
    <n v="8"/>
    <n v="22"/>
    <n v="338000"/>
  </r>
  <r>
    <x v="64"/>
    <s v="North"/>
    <s v="Rajesh Patel"/>
    <x v="2"/>
    <n v="150"/>
    <n v="3000"/>
    <n v="12"/>
    <n v="26"/>
    <n v="450000"/>
  </r>
  <r>
    <x v="65"/>
    <s v="South"/>
    <s v="Meera Reddy"/>
    <x v="0"/>
    <n v="140"/>
    <n v="2800"/>
    <n v="13"/>
    <n v="23"/>
    <n v="392000"/>
  </r>
  <r>
    <x v="66"/>
    <s v="East"/>
    <s v="Arun Kumar"/>
    <x v="1"/>
    <n v="170"/>
    <n v="3400"/>
    <n v="14"/>
    <n v="24"/>
    <n v="578000"/>
  </r>
  <r>
    <x v="67"/>
    <s v="West"/>
    <s v="Priya Sharma"/>
    <x v="2"/>
    <n v="160"/>
    <n v="3200"/>
    <n v="16"/>
    <n v="27"/>
    <n v="512000"/>
  </r>
  <r>
    <x v="68"/>
    <s v="North"/>
    <s v="Rajesh Patel"/>
    <x v="0"/>
    <n v="180"/>
    <n v="3600"/>
    <n v="10"/>
    <n v="22"/>
    <n v="648000"/>
  </r>
  <r>
    <x v="69"/>
    <s v="South"/>
    <s v="Meera Reddy"/>
    <x v="1"/>
    <n v="150"/>
    <n v="3000"/>
    <n v="15"/>
    <n v="29"/>
    <n v="450000"/>
  </r>
  <r>
    <x v="70"/>
    <s v="East"/>
    <s v="Arun Kumar"/>
    <x v="2"/>
    <n v="200"/>
    <n v="4000"/>
    <n v="12"/>
    <n v="25"/>
    <n v="800000"/>
  </r>
  <r>
    <x v="71"/>
    <s v="West"/>
    <s v="Priya Sharma"/>
    <x v="0"/>
    <n v="140"/>
    <n v="2800"/>
    <n v="11"/>
    <n v="20"/>
    <n v="392000"/>
  </r>
  <r>
    <x v="72"/>
    <s v="North"/>
    <s v="Rajesh Patel"/>
    <x v="1"/>
    <n v="160"/>
    <n v="3200"/>
    <n v="9"/>
    <n v="22"/>
    <n v="512000"/>
  </r>
  <r>
    <x v="73"/>
    <s v="South"/>
    <s v="Meera Reddy"/>
    <x v="2"/>
    <n v="190"/>
    <n v="3800"/>
    <n v="13"/>
    <n v="26"/>
    <n v="722000"/>
  </r>
  <r>
    <x v="74"/>
    <s v="East"/>
    <s v="Arun Kumar"/>
    <x v="1"/>
    <n v="200"/>
    <n v="4000"/>
    <n v="16"/>
    <n v="28"/>
    <n v="800000"/>
  </r>
  <r>
    <x v="75"/>
    <s v="West"/>
    <s v="Priya Sharma"/>
    <x v="2"/>
    <n v="180"/>
    <n v="3600"/>
    <n v="15"/>
    <n v="30"/>
    <n v="648000"/>
  </r>
  <r>
    <x v="76"/>
    <s v="North"/>
    <s v="Rajesh Patel"/>
    <x v="0"/>
    <n v="140"/>
    <n v="2800"/>
    <n v="6"/>
    <n v="21"/>
    <n v="392000"/>
  </r>
  <r>
    <x v="77"/>
    <s v="South"/>
    <s v="Meera Reddy"/>
    <x v="1"/>
    <n v="220"/>
    <n v="4400"/>
    <n v="18"/>
    <n v="27"/>
    <n v="968000"/>
  </r>
  <r>
    <x v="78"/>
    <s v="East"/>
    <s v="Arun Kumar"/>
    <x v="2"/>
    <n v="150"/>
    <n v="3000"/>
    <n v="14"/>
    <n v="22"/>
    <n v="450000"/>
  </r>
  <r>
    <x v="79"/>
    <s v="West"/>
    <s v="Priya Sharma"/>
    <x v="0"/>
    <n v="160"/>
    <n v="3200"/>
    <n v="13"/>
    <n v="24"/>
    <n v="512000"/>
  </r>
  <r>
    <x v="80"/>
    <s v="North"/>
    <s v="Rajesh Patel"/>
    <x v="1"/>
    <n v="190"/>
    <n v="3800"/>
    <n v="12"/>
    <n v="23"/>
    <n v="722000"/>
  </r>
  <r>
    <x v="81"/>
    <s v="South"/>
    <s v="Meera Reddy"/>
    <x v="2"/>
    <n v="210"/>
    <n v="4200"/>
    <n v="16"/>
    <n v="28"/>
    <n v="882000"/>
  </r>
  <r>
    <x v="82"/>
    <s v="East"/>
    <s v="Arun Kumar"/>
    <x v="0"/>
    <n v="170"/>
    <n v="3400"/>
    <n v="15"/>
    <n v="25"/>
    <n v="578000"/>
  </r>
  <r>
    <x v="83"/>
    <s v="West"/>
    <s v="Priya Sharma"/>
    <x v="1"/>
    <n v="140"/>
    <n v="2800"/>
    <n v="10"/>
    <n v="22"/>
    <n v="392000"/>
  </r>
  <r>
    <x v="84"/>
    <s v="North"/>
    <s v="Rajesh Patel"/>
    <x v="2"/>
    <n v="220"/>
    <n v="4400"/>
    <n v="14"/>
    <n v="30"/>
    <n v="968000"/>
  </r>
  <r>
    <x v="85"/>
    <s v="South"/>
    <s v="Meera Reddy"/>
    <x v="0"/>
    <n v="130"/>
    <n v="2600"/>
    <n v="12"/>
    <n v="23"/>
    <n v="338000"/>
  </r>
  <r>
    <x v="86"/>
    <s v="East"/>
    <s v="Arun Kumar"/>
    <x v="1"/>
    <n v="150"/>
    <n v="3000"/>
    <n v="13"/>
    <n v="24"/>
    <n v="450000"/>
  </r>
  <r>
    <x v="87"/>
    <s v="West"/>
    <s v="Priya Sharma"/>
    <x v="2"/>
    <n v="200"/>
    <n v="4000"/>
    <n v="11"/>
    <n v="21"/>
    <n v="800000"/>
  </r>
  <r>
    <x v="88"/>
    <s v="North"/>
    <s v="Rajesh Patel"/>
    <x v="0"/>
    <n v="160"/>
    <n v="3200"/>
    <n v="8"/>
    <n v="22"/>
    <n v="512000"/>
  </r>
  <r>
    <x v="89"/>
    <s v="South"/>
    <s v="Meera Reddy"/>
    <x v="1"/>
    <n v="180"/>
    <n v="3600"/>
    <n v="17"/>
    <n v="28"/>
    <n v="648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s v="East"/>
    <x v="0"/>
    <s v="Product X"/>
    <n v="150"/>
    <n v="3000"/>
    <n v="10"/>
    <n v="20"/>
    <n v="450000"/>
  </r>
  <r>
    <x v="1"/>
    <s v="West"/>
    <x v="1"/>
    <s v="Product Y"/>
    <n v="200"/>
    <n v="4000"/>
    <n v="15"/>
    <n v="25"/>
    <n v="800000"/>
  </r>
  <r>
    <x v="2"/>
    <s v="North"/>
    <x v="2"/>
    <s v="Product X"/>
    <n v="120"/>
    <n v="2400"/>
    <n v="5"/>
    <n v="18"/>
    <n v="288000"/>
  </r>
  <r>
    <x v="3"/>
    <s v="South"/>
    <x v="3"/>
    <s v="Product Z"/>
    <n v="250"/>
    <n v="5000"/>
    <n v="20"/>
    <n v="30"/>
    <n v="1250000"/>
  </r>
  <r>
    <x v="4"/>
    <s v="East"/>
    <x v="0"/>
    <s v="Product Y"/>
    <n v="100"/>
    <n v="2000"/>
    <n v="10"/>
    <n v="22"/>
    <n v="200000"/>
  </r>
  <r>
    <x v="5"/>
    <s v="West"/>
    <x v="1"/>
    <s v="Product X"/>
    <n v="180"/>
    <n v="3600"/>
    <n v="12"/>
    <n v="19"/>
    <n v="648000"/>
  </r>
  <r>
    <x v="6"/>
    <s v="North"/>
    <x v="2"/>
    <s v="Product Y"/>
    <n v="150"/>
    <n v="3000"/>
    <n v="8"/>
    <n v="21"/>
    <n v="450000"/>
  </r>
  <r>
    <x v="7"/>
    <s v="South"/>
    <x v="3"/>
    <s v="Product X"/>
    <n v="200"/>
    <n v="4000"/>
    <n v="15"/>
    <n v="27"/>
    <n v="800000"/>
  </r>
  <r>
    <x v="8"/>
    <s v="East"/>
    <x v="0"/>
    <s v="Product Z"/>
    <n v="170"/>
    <n v="3400"/>
    <n v="18"/>
    <n v="23"/>
    <n v="578000"/>
  </r>
  <r>
    <x v="9"/>
    <s v="West"/>
    <x v="1"/>
    <s v="Product Z"/>
    <n v="130"/>
    <n v="2600"/>
    <n v="10"/>
    <n v="20"/>
    <n v="338000"/>
  </r>
  <r>
    <x v="10"/>
    <s v="North"/>
    <x v="2"/>
    <s v="Product X"/>
    <n v="160"/>
    <n v="3200"/>
    <n v="5"/>
    <n v="22"/>
    <n v="512000"/>
  </r>
  <r>
    <x v="11"/>
    <s v="South"/>
    <x v="3"/>
    <s v="Product Y"/>
    <n v="180"/>
    <n v="3600"/>
    <n v="12"/>
    <n v="25"/>
    <n v="648000"/>
  </r>
  <r>
    <x v="12"/>
    <s v="East"/>
    <x v="0"/>
    <s v="Product Y"/>
    <n v="140"/>
    <n v="2800"/>
    <n v="11"/>
    <n v="24"/>
    <n v="392000"/>
  </r>
  <r>
    <x v="13"/>
    <s v="West"/>
    <x v="1"/>
    <s v="Product X"/>
    <n v="150"/>
    <n v="3000"/>
    <n v="8"/>
    <n v="20"/>
    <n v="450000"/>
  </r>
  <r>
    <x v="14"/>
    <s v="North"/>
    <x v="2"/>
    <s v="Product Z"/>
    <n v="190"/>
    <n v="3800"/>
    <n v="7"/>
    <n v="19"/>
    <n v="722000"/>
  </r>
  <r>
    <x v="15"/>
    <s v="South"/>
    <x v="3"/>
    <s v="Product Z"/>
    <n v="210"/>
    <n v="4200"/>
    <n v="16"/>
    <n v="28"/>
    <n v="882000"/>
  </r>
  <r>
    <x v="16"/>
    <s v="East"/>
    <x v="0"/>
    <s v="Product Z"/>
    <n v="160"/>
    <n v="3200"/>
    <n v="12"/>
    <n v="22"/>
    <n v="512000"/>
  </r>
  <r>
    <x v="17"/>
    <s v="West"/>
    <x v="1"/>
    <s v="Product Y"/>
    <n v="170"/>
    <n v="3400"/>
    <n v="14"/>
    <n v="26"/>
    <n v="578000"/>
  </r>
  <r>
    <x v="18"/>
    <s v="North"/>
    <x v="2"/>
    <s v="Product X"/>
    <n v="140"/>
    <n v="2800"/>
    <n v="6"/>
    <n v="21"/>
    <n v="392000"/>
  </r>
  <r>
    <x v="19"/>
    <s v="South"/>
    <x v="3"/>
    <s v="Product Y"/>
    <n v="220"/>
    <n v="4400"/>
    <n v="18"/>
    <n v="29"/>
    <n v="968000"/>
  </r>
  <r>
    <x v="20"/>
    <s v="East"/>
    <x v="0"/>
    <s v="Product X"/>
    <n v="130"/>
    <n v="2600"/>
    <n v="11"/>
    <n v="23"/>
    <n v="338000"/>
  </r>
  <r>
    <x v="21"/>
    <s v="West"/>
    <x v="1"/>
    <s v="Product Z"/>
    <n v="140"/>
    <n v="2800"/>
    <n v="9"/>
    <n v="20"/>
    <n v="392000"/>
  </r>
  <r>
    <x v="22"/>
    <s v="North"/>
    <x v="2"/>
    <s v="Product Y"/>
    <n v="190"/>
    <n v="3800"/>
    <n v="10"/>
    <n v="22"/>
    <n v="722000"/>
  </r>
  <r>
    <x v="23"/>
    <s v="South"/>
    <x v="3"/>
    <s v="Product X"/>
    <n v="160"/>
    <n v="3200"/>
    <n v="13"/>
    <n v="26"/>
    <n v="512000"/>
  </r>
  <r>
    <x v="24"/>
    <s v="East"/>
    <x v="0"/>
    <s v="Product Z"/>
    <n v="180"/>
    <n v="3600"/>
    <n v="15"/>
    <n v="24"/>
    <n v="648000"/>
  </r>
  <r>
    <x v="25"/>
    <s v="West"/>
    <x v="1"/>
    <s v="Product X"/>
    <n v="170"/>
    <n v="3400"/>
    <n v="8"/>
    <n v="21"/>
    <n v="578000"/>
  </r>
  <r>
    <x v="26"/>
    <s v="North"/>
    <x v="2"/>
    <s v="Product Z"/>
    <n v="200"/>
    <n v="4000"/>
    <n v="12"/>
    <n v="28"/>
    <n v="800000"/>
  </r>
  <r>
    <x v="27"/>
    <s v="South"/>
    <x v="3"/>
    <s v="Product Y"/>
    <n v="150"/>
    <n v="3000"/>
    <n v="16"/>
    <n v="25"/>
    <n v="450000"/>
  </r>
  <r>
    <x v="28"/>
    <s v="East"/>
    <x v="0"/>
    <s v="Product Y"/>
    <n v="110"/>
    <n v="2200"/>
    <n v="14"/>
    <n v="20"/>
    <n v="242000"/>
  </r>
  <r>
    <x v="29"/>
    <s v="West"/>
    <x v="1"/>
    <s v="Product Z"/>
    <n v="180"/>
    <n v="3600"/>
    <n v="11"/>
    <n v="23"/>
    <n v="648000"/>
  </r>
  <r>
    <x v="30"/>
    <s v="East"/>
    <x v="0"/>
    <s v="Product Y"/>
    <n v="160"/>
    <n v="3200"/>
    <n v="12"/>
    <n v="22"/>
    <n v="512000"/>
  </r>
  <r>
    <x v="31"/>
    <s v="West"/>
    <x v="1"/>
    <s v="Product Z"/>
    <n v="140"/>
    <n v="2800"/>
    <n v="14"/>
    <n v="25"/>
    <n v="392000"/>
  </r>
  <r>
    <x v="32"/>
    <s v="North"/>
    <x v="2"/>
    <s v="Product X"/>
    <n v="110"/>
    <n v="2200"/>
    <n v="8"/>
    <n v="20"/>
    <n v="242000"/>
  </r>
  <r>
    <x v="33"/>
    <s v="South"/>
    <x v="3"/>
    <s v="Product Y"/>
    <n v="230"/>
    <n v="4600"/>
    <n v="10"/>
    <n v="28"/>
    <n v="1058000"/>
  </r>
  <r>
    <x v="34"/>
    <s v="East"/>
    <x v="0"/>
    <s v="Product Z"/>
    <n v="190"/>
    <n v="3800"/>
    <n v="15"/>
    <n v="24"/>
    <n v="722000"/>
  </r>
  <r>
    <x v="35"/>
    <s v="West"/>
    <x v="1"/>
    <s v="Product X"/>
    <n v="140"/>
    <n v="2800"/>
    <n v="11"/>
    <n v="21"/>
    <n v="392000"/>
  </r>
  <r>
    <x v="36"/>
    <s v="North"/>
    <x v="2"/>
    <s v="Product Y"/>
    <n v="160"/>
    <n v="3200"/>
    <n v="7"/>
    <n v="22"/>
    <n v="512000"/>
  </r>
  <r>
    <x v="37"/>
    <s v="South"/>
    <x v="3"/>
    <s v="Product Z"/>
    <n v="220"/>
    <n v="4400"/>
    <n v="18"/>
    <n v="30"/>
    <n v="968000"/>
  </r>
  <r>
    <x v="38"/>
    <s v="East"/>
    <x v="0"/>
    <s v="Product X"/>
    <n v="140"/>
    <n v="2800"/>
    <n v="12"/>
    <n v="23"/>
    <n v="392000"/>
  </r>
  <r>
    <x v="39"/>
    <s v="West"/>
    <x v="1"/>
    <s v="Product Y"/>
    <n v="120"/>
    <n v="2400"/>
    <n v="10"/>
    <n v="21"/>
    <n v="288000"/>
  </r>
  <r>
    <x v="40"/>
    <s v="North"/>
    <x v="2"/>
    <s v="Product Z"/>
    <n v="170"/>
    <n v="3400"/>
    <n v="9"/>
    <n v="19"/>
    <n v="578000"/>
  </r>
  <r>
    <x v="41"/>
    <s v="South"/>
    <x v="3"/>
    <s v="Product X"/>
    <n v="200"/>
    <n v="4000"/>
    <n v="14"/>
    <n v="26"/>
    <n v="800000"/>
  </r>
  <r>
    <x v="42"/>
    <s v="East"/>
    <x v="0"/>
    <s v="Product Y"/>
    <n v="150"/>
    <n v="3000"/>
    <n v="11"/>
    <n v="22"/>
    <n v="450000"/>
  </r>
  <r>
    <x v="43"/>
    <s v="West"/>
    <x v="1"/>
    <s v="Product Z"/>
    <n v="180"/>
    <n v="3600"/>
    <n v="16"/>
    <n v="28"/>
    <n v="648000"/>
  </r>
  <r>
    <x v="44"/>
    <s v="North"/>
    <x v="2"/>
    <s v="Product X"/>
    <n v="130"/>
    <n v="2600"/>
    <n v="6"/>
    <n v="20"/>
    <n v="338000"/>
  </r>
  <r>
    <x v="45"/>
    <s v="South"/>
    <x v="3"/>
    <s v="Product Y"/>
    <n v="190"/>
    <n v="3800"/>
    <n v="12"/>
    <n v="27"/>
    <n v="722000"/>
  </r>
  <r>
    <x v="46"/>
    <s v="East"/>
    <x v="0"/>
    <s v="Product Z"/>
    <n v="210"/>
    <n v="4200"/>
    <n v="17"/>
    <n v="25"/>
    <n v="882000"/>
  </r>
  <r>
    <x v="47"/>
    <s v="West"/>
    <x v="1"/>
    <s v="Product X"/>
    <n v="160"/>
    <n v="3200"/>
    <n v="8"/>
    <n v="22"/>
    <n v="512000"/>
  </r>
  <r>
    <x v="48"/>
    <s v="North"/>
    <x v="2"/>
    <s v="Product Y"/>
    <n v="180"/>
    <n v="3600"/>
    <n v="9"/>
    <n v="23"/>
    <n v="648000"/>
  </r>
  <r>
    <x v="49"/>
    <s v="South"/>
    <x v="3"/>
    <s v="Product Z"/>
    <n v="170"/>
    <n v="3400"/>
    <n v="14"/>
    <n v="26"/>
    <n v="578000"/>
  </r>
  <r>
    <x v="50"/>
    <s v="East"/>
    <x v="0"/>
    <s v="Product X"/>
    <n v="150"/>
    <n v="3000"/>
    <n v="13"/>
    <n v="24"/>
    <n v="450000"/>
  </r>
  <r>
    <x v="51"/>
    <s v="West"/>
    <x v="1"/>
    <s v="Product Y"/>
    <n v="140"/>
    <n v="2800"/>
    <n v="12"/>
    <n v="23"/>
    <n v="392000"/>
  </r>
  <r>
    <x v="52"/>
    <s v="North"/>
    <x v="2"/>
    <s v="Product Z"/>
    <n v="200"/>
    <n v="4000"/>
    <n v="10"/>
    <n v="27"/>
    <n v="800000"/>
  </r>
  <r>
    <x v="53"/>
    <s v="South"/>
    <x v="3"/>
    <s v="Product X"/>
    <n v="170"/>
    <n v="3400"/>
    <n v="15"/>
    <n v="28"/>
    <n v="578000"/>
  </r>
  <r>
    <x v="54"/>
    <s v="East"/>
    <x v="0"/>
    <s v="Product Y"/>
    <n v="120"/>
    <n v="2400"/>
    <n v="14"/>
    <n v="22"/>
    <n v="288000"/>
  </r>
  <r>
    <x v="55"/>
    <s v="West"/>
    <x v="1"/>
    <s v="Product Z"/>
    <n v="190"/>
    <n v="3800"/>
    <n v="11"/>
    <n v="20"/>
    <n v="722000"/>
  </r>
  <r>
    <x v="56"/>
    <s v="North"/>
    <x v="2"/>
    <s v="Product X"/>
    <n v="140"/>
    <n v="2800"/>
    <n v="7"/>
    <n v="21"/>
    <n v="392000"/>
  </r>
  <r>
    <x v="57"/>
    <s v="South"/>
    <x v="3"/>
    <s v="Product Y"/>
    <n v="200"/>
    <n v="4000"/>
    <n v="16"/>
    <n v="29"/>
    <n v="800000"/>
  </r>
  <r>
    <x v="58"/>
    <s v="East"/>
    <x v="0"/>
    <s v="Product Z"/>
    <n v="160"/>
    <n v="3200"/>
    <n v="13"/>
    <n v="23"/>
    <n v="512000"/>
  </r>
  <r>
    <x v="59"/>
    <s v="West"/>
    <x v="1"/>
    <s v="Product X"/>
    <n v="180"/>
    <n v="3600"/>
    <n v="10"/>
    <n v="24"/>
    <n v="648000"/>
  </r>
  <r>
    <x v="60"/>
    <s v="North"/>
    <x v="2"/>
    <s v="Product Y"/>
    <n v="220"/>
    <n v="4400"/>
    <n v="9"/>
    <n v="25"/>
    <n v="968000"/>
  </r>
  <r>
    <x v="61"/>
    <s v="South"/>
    <x v="3"/>
    <s v="Product Z"/>
    <n v="230"/>
    <n v="4600"/>
    <n v="17"/>
    <n v="30"/>
    <n v="1058000"/>
  </r>
  <r>
    <x v="62"/>
    <s v="East"/>
    <x v="0"/>
    <s v="Product X"/>
    <n v="110"/>
    <n v="2200"/>
    <n v="11"/>
    <n v="21"/>
    <n v="242000"/>
  </r>
  <r>
    <x v="63"/>
    <s v="West"/>
    <x v="1"/>
    <s v="Product Y"/>
    <n v="130"/>
    <n v="2600"/>
    <n v="8"/>
    <n v="22"/>
    <n v="338000"/>
  </r>
  <r>
    <x v="64"/>
    <s v="North"/>
    <x v="2"/>
    <s v="Product Z"/>
    <n v="150"/>
    <n v="3000"/>
    <n v="12"/>
    <n v="26"/>
    <n v="450000"/>
  </r>
  <r>
    <x v="65"/>
    <s v="South"/>
    <x v="3"/>
    <s v="Product X"/>
    <n v="140"/>
    <n v="2800"/>
    <n v="13"/>
    <n v="23"/>
    <n v="392000"/>
  </r>
  <r>
    <x v="66"/>
    <s v="East"/>
    <x v="0"/>
    <s v="Product Y"/>
    <n v="170"/>
    <n v="3400"/>
    <n v="14"/>
    <n v="24"/>
    <n v="578000"/>
  </r>
  <r>
    <x v="67"/>
    <s v="West"/>
    <x v="1"/>
    <s v="Product Z"/>
    <n v="160"/>
    <n v="3200"/>
    <n v="16"/>
    <n v="27"/>
    <n v="512000"/>
  </r>
  <r>
    <x v="68"/>
    <s v="North"/>
    <x v="2"/>
    <s v="Product X"/>
    <n v="180"/>
    <n v="3600"/>
    <n v="10"/>
    <n v="22"/>
    <n v="648000"/>
  </r>
  <r>
    <x v="69"/>
    <s v="South"/>
    <x v="3"/>
    <s v="Product Y"/>
    <n v="150"/>
    <n v="3000"/>
    <n v="15"/>
    <n v="29"/>
    <n v="450000"/>
  </r>
  <r>
    <x v="70"/>
    <s v="East"/>
    <x v="0"/>
    <s v="Product Z"/>
    <n v="200"/>
    <n v="4000"/>
    <n v="12"/>
    <n v="25"/>
    <n v="800000"/>
  </r>
  <r>
    <x v="71"/>
    <s v="West"/>
    <x v="1"/>
    <s v="Product X"/>
    <n v="140"/>
    <n v="2800"/>
    <n v="11"/>
    <n v="20"/>
    <n v="392000"/>
  </r>
  <r>
    <x v="72"/>
    <s v="North"/>
    <x v="2"/>
    <s v="Product Y"/>
    <n v="160"/>
    <n v="3200"/>
    <n v="9"/>
    <n v="22"/>
    <n v="512000"/>
  </r>
  <r>
    <x v="73"/>
    <s v="South"/>
    <x v="3"/>
    <s v="Product Z"/>
    <n v="190"/>
    <n v="3800"/>
    <n v="13"/>
    <n v="26"/>
    <n v="722000"/>
  </r>
  <r>
    <x v="74"/>
    <s v="East"/>
    <x v="0"/>
    <s v="Product Y"/>
    <n v="200"/>
    <n v="4000"/>
    <n v="16"/>
    <n v="28"/>
    <n v="800000"/>
  </r>
  <r>
    <x v="75"/>
    <s v="West"/>
    <x v="1"/>
    <s v="Product Z"/>
    <n v="180"/>
    <n v="3600"/>
    <n v="15"/>
    <n v="30"/>
    <n v="648000"/>
  </r>
  <r>
    <x v="76"/>
    <s v="North"/>
    <x v="2"/>
    <s v="Product X"/>
    <n v="140"/>
    <n v="2800"/>
    <n v="6"/>
    <n v="21"/>
    <n v="392000"/>
  </r>
  <r>
    <x v="77"/>
    <s v="South"/>
    <x v="3"/>
    <s v="Product Y"/>
    <n v="220"/>
    <n v="4400"/>
    <n v="18"/>
    <n v="27"/>
    <n v="968000"/>
  </r>
  <r>
    <x v="78"/>
    <s v="East"/>
    <x v="0"/>
    <s v="Product Z"/>
    <n v="150"/>
    <n v="3000"/>
    <n v="14"/>
    <n v="22"/>
    <n v="450000"/>
  </r>
  <r>
    <x v="79"/>
    <s v="West"/>
    <x v="1"/>
    <s v="Product X"/>
    <n v="160"/>
    <n v="3200"/>
    <n v="13"/>
    <n v="24"/>
    <n v="512000"/>
  </r>
  <r>
    <x v="80"/>
    <s v="North"/>
    <x v="2"/>
    <s v="Product Y"/>
    <n v="190"/>
    <n v="3800"/>
    <n v="12"/>
    <n v="23"/>
    <n v="722000"/>
  </r>
  <r>
    <x v="81"/>
    <s v="South"/>
    <x v="3"/>
    <s v="Product Z"/>
    <n v="210"/>
    <n v="4200"/>
    <n v="16"/>
    <n v="28"/>
    <n v="882000"/>
  </r>
  <r>
    <x v="82"/>
    <s v="East"/>
    <x v="0"/>
    <s v="Product X"/>
    <n v="170"/>
    <n v="3400"/>
    <n v="15"/>
    <n v="25"/>
    <n v="578000"/>
  </r>
  <r>
    <x v="83"/>
    <s v="West"/>
    <x v="1"/>
    <s v="Product Y"/>
    <n v="140"/>
    <n v="2800"/>
    <n v="10"/>
    <n v="22"/>
    <n v="392000"/>
  </r>
  <r>
    <x v="84"/>
    <s v="North"/>
    <x v="2"/>
    <s v="Product Z"/>
    <n v="220"/>
    <n v="4400"/>
    <n v="14"/>
    <n v="30"/>
    <n v="968000"/>
  </r>
  <r>
    <x v="85"/>
    <s v="South"/>
    <x v="3"/>
    <s v="Product X"/>
    <n v="130"/>
    <n v="2600"/>
    <n v="12"/>
    <n v="23"/>
    <n v="338000"/>
  </r>
  <r>
    <x v="86"/>
    <s v="East"/>
    <x v="0"/>
    <s v="Product Y"/>
    <n v="150"/>
    <n v="3000"/>
    <n v="13"/>
    <n v="24"/>
    <n v="450000"/>
  </r>
  <r>
    <x v="87"/>
    <s v="West"/>
    <x v="1"/>
    <s v="Product Z"/>
    <n v="200"/>
    <n v="4000"/>
    <n v="11"/>
    <n v="21"/>
    <n v="800000"/>
  </r>
  <r>
    <x v="88"/>
    <s v="North"/>
    <x v="2"/>
    <s v="Product X"/>
    <n v="160"/>
    <n v="3200"/>
    <n v="8"/>
    <n v="22"/>
    <n v="512000"/>
  </r>
  <r>
    <x v="89"/>
    <s v="South"/>
    <x v="3"/>
    <s v="Product Y"/>
    <n v="180"/>
    <n v="3600"/>
    <n v="17"/>
    <n v="28"/>
    <n v="648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DE64EB-1E6E-4DC9-ABEE-0992751DA612}" name="PivotTable7" cacheId="7"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5">
  <location ref="E9:F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Discount (%)" fld="1" baseField="0" baseItem="0"/>
  </dataFields>
  <chartFormats count="1">
    <chartFormat chart="4" format="4"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ass!$A$3:$I$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2E2D55-BB1A-4CCE-9DD9-126F5FD297C0}" name="PivotTable2" cacheId="4"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7">
  <location ref="A11:B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 Sales Amount" fld="1" baseField="0" baseItem="0"/>
  </dataFields>
  <chartFormats count="7">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6" format="6"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ass!$A$3:$I$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A6D583-C1D3-4543-A8FB-91DD6DB4C177}" name="PivotTable1" cacheId="3"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6">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 Sold" fld="1" baseField="0" baseItem="0"/>
  </dataFields>
  <chartFormats count="6">
    <chartFormat chart="0" format="0" series="1">
      <pivotArea type="data" outline="0" fieldPosition="0">
        <references count="1">
          <reference field="4294967294" count="1" selected="0">
            <x v="0"/>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0" count="1" selected="0">
            <x v="0"/>
          </reference>
        </references>
      </pivotArea>
    </chartFormat>
    <chartFormat chart="5" format="18">
      <pivotArea type="data" outline="0" fieldPosition="0">
        <references count="2">
          <reference field="4294967294" count="1" selected="0">
            <x v="0"/>
          </reference>
          <reference field="0" count="1" selected="0">
            <x v="1"/>
          </reference>
        </references>
      </pivotArea>
    </chartFormat>
    <chartFormat chart="5" format="19">
      <pivotArea type="data" outline="0" fieldPosition="0">
        <references count="2">
          <reference field="4294967294" count="1" selected="0">
            <x v="0"/>
          </reference>
          <reference field="0" count="1" selected="0">
            <x v="2"/>
          </reference>
        </references>
      </pivotArea>
    </chartFormat>
    <chartFormat chart="5" format="20">
      <pivotArea type="data" outline="0" fieldPosition="0">
        <references count="2">
          <reference field="4294967294" count="1" selected="0">
            <x v="0"/>
          </reference>
          <reference field="0" count="1" selected="0">
            <x v="3"/>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ass!$A$3:$I$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02BDE9-8513-4628-B990-B13F80EA164A}" name="PivotTable3" cacheId="5"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5">
  <location ref="A19:B2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Sold"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ass!$A$3:$I$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9B6BC1-5BA1-4898-96FB-A7F6A6F089A6}"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E17:H21" firstHeaderRow="0" firstDataRow="1" firstDataCol="1"/>
  <pivotFields count="9">
    <pivotField axis="axisRow"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axis="axisRow" showAll="0">
      <items count="4">
        <item sd="0" x="0"/>
        <item sd="0" x="1"/>
        <item sd="0" x="2"/>
        <item t="default" sd="0"/>
      </items>
    </pivotField>
    <pivotField dataField="1" showAll="0"/>
    <pivotField showAll="0"/>
    <pivotField dataField="1" showAll="0"/>
    <pivotField dataField="1" showAll="0"/>
    <pivotField showAll="0"/>
  </pivotFields>
  <rowFields count="2">
    <field x="3"/>
    <field x="0"/>
  </rowFields>
  <rowItems count="4">
    <i>
      <x/>
    </i>
    <i>
      <x v="1"/>
    </i>
    <i>
      <x v="2"/>
    </i>
    <i t="grand">
      <x/>
    </i>
  </rowItems>
  <colFields count="1">
    <field x="-2"/>
  </colFields>
  <colItems count="3">
    <i>
      <x/>
    </i>
    <i i="1">
      <x v="1"/>
    </i>
    <i i="2">
      <x v="2"/>
    </i>
  </colItems>
  <dataFields count="3">
    <dataField name="Sum of Quantity Sold" fld="4" baseField="0" baseItem="0"/>
    <dataField name="Sum of Profit Margin (%)" fld="7" baseField="0" baseItem="0"/>
    <dataField name="Sum of Discount (%)" fld="6" baseField="0" baseItem="0"/>
  </dataFields>
  <chartFormats count="3">
    <chartFormat chart="5" format="12"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5FEE09-6B3E-459C-A015-28D8C64CDECA}" name="PivotTable4" cacheId="6" applyNumberFormats="0" applyBorderFormats="0" applyFontFormats="0" applyPatternFormats="0" applyAlignmentFormats="0" applyWidthHeightFormats="1" dataCaption="Values" updatedVersion="8" minRefreshableVersion="3" useAutoFormatting="1" subtotalHiddenItems="1" itemPrintTitles="1" createdVersion="7" indent="0" outline="1" outlineData="1" multipleFieldFilters="0" chartFormat="14">
  <location ref="E3:G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name="Sum of Sales Amount" fld="0" baseField="0" baseItem="0"/>
    <dataField name="Sum of Profit Margin (%)" fld="1" baseField="0" baseItem="0"/>
  </dataFields>
  <chartFormats count="8">
    <chartFormat chart="6" format="201" series="1">
      <pivotArea type="data" outline="0" fieldPosition="0">
        <references count="1">
          <reference field="4294967294" count="1" selected="0">
            <x v="0"/>
          </reference>
        </references>
      </pivotArea>
    </chartFormat>
    <chartFormat chart="6" format="202"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Hierarchies count="20">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Quantity Sold"/>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ass!$A$3:$I$9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7A2C01-0C31-47E2-8A0B-551EBB5174D5}"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6:B31" firstHeaderRow="1" firstDataRow="1" firstDataCol="1"/>
  <pivotFields count="9">
    <pivotField axis="axisRow"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Row" showAll="0">
      <items count="5">
        <item sd="0" x="0"/>
        <item sd="0" x="2"/>
        <item sd="0" x="3"/>
        <item sd="0" x="1"/>
        <item t="default" sd="0"/>
      </items>
    </pivotField>
    <pivotField showAll="0">
      <items count="5">
        <item x="0"/>
        <item x="3"/>
        <item x="1"/>
        <item x="2"/>
        <item t="default"/>
      </items>
    </pivotField>
    <pivotField showAll="0"/>
    <pivotField showAll="0"/>
    <pivotField dataField="1" showAll="0"/>
    <pivotField showAll="0"/>
    <pivotField showAll="0"/>
    <pivotField showAll="0"/>
  </pivotFields>
  <rowFields count="2">
    <field x="1"/>
    <field x="0"/>
  </rowFields>
  <rowItems count="5">
    <i>
      <x/>
    </i>
    <i>
      <x v="1"/>
    </i>
    <i>
      <x v="2"/>
    </i>
    <i>
      <x v="3"/>
    </i>
    <i t="grand">
      <x/>
    </i>
  </rowItems>
  <colItems count="1">
    <i/>
  </colItems>
  <dataFields count="1">
    <dataField name="Sum of Sales Amount" fld="5" baseField="0" baseItem="0"/>
  </dataFields>
  <chartFormats count="5">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0"/>
          </reference>
        </references>
      </pivotArea>
    </chartFormat>
    <chartFormat chart="4" format="18">
      <pivotArea type="data" outline="0" fieldPosition="0">
        <references count="2">
          <reference field="4294967294" count="1" selected="0">
            <x v="0"/>
          </reference>
          <reference field="1" count="1" selected="0">
            <x v="1"/>
          </reference>
        </references>
      </pivotArea>
    </chartFormat>
    <chartFormat chart="4" format="19">
      <pivotArea type="data" outline="0" fieldPosition="0">
        <references count="2">
          <reference field="4294967294" count="1" selected="0">
            <x v="0"/>
          </reference>
          <reference field="1" count="1" selected="0">
            <x v="2"/>
          </reference>
        </references>
      </pivotArea>
    </chartFormat>
    <chartFormat chart="4" format="2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4CDB38-E284-459C-A28C-CB4D93F1C15B}" name="PivotTable1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E24:G29" firstHeaderRow="0" firstDataRow="1" firstDataCol="1"/>
  <pivotFields count="9">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axis="axisRow" showAll="0">
      <items count="5">
        <item sd="0" x="0"/>
        <item sd="0" x="3"/>
        <item sd="0" x="1"/>
        <item sd="0" x="2"/>
        <item t="default" sd="0"/>
      </items>
    </pivotField>
    <pivotField showAll="0"/>
    <pivotField showAll="0"/>
    <pivotField showAll="0"/>
    <pivotField dataField="1" showAll="0"/>
    <pivotField dataField="1" showAll="0"/>
    <pivotField showAll="0"/>
  </pivotFields>
  <rowFields count="1">
    <field x="2"/>
  </rowFields>
  <rowItems count="5">
    <i>
      <x/>
    </i>
    <i>
      <x v="1"/>
    </i>
    <i>
      <x v="2"/>
    </i>
    <i>
      <x v="3"/>
    </i>
    <i t="grand">
      <x/>
    </i>
  </rowItems>
  <colFields count="1">
    <field x="-2"/>
  </colFields>
  <colItems count="2">
    <i>
      <x/>
    </i>
    <i i="1">
      <x v="1"/>
    </i>
  </colItems>
  <dataFields count="2">
    <dataField name="Sum of Discount (%)" fld="6" baseField="0" baseItem="0"/>
    <dataField name="Sum of Profit Margin (%)"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914A404D-03BA-4DF1-B037-F3D1DDE1FF2B}" sourceName="[Range].[Date (Month)]">
  <pivotTables>
    <pivotTable tabId="3" name="PivotTable1"/>
    <pivotTable tabId="3" name="PivotTable2"/>
    <pivotTable tabId="3" name="PivotTable3"/>
    <pivotTable tabId="3" name="PivotTable4"/>
    <pivotTable tabId="3" name="PivotTable7"/>
  </pivotTables>
  <data>
    <olap pivotCacheId="640211787">
      <levels count="2">
        <level uniqueName="[Range].[Date (Month)].[(All)]" sourceCaption="(All)" count="0"/>
        <level uniqueName="[Range].[Date (Month)].[Date (Month)]" sourceCaption="Date (Month)" count="3">
          <ranges>
            <range startItem="0">
              <i n="[Range].[Date (Month)].&amp;[Jan]" c="Jan"/>
              <i n="[Range].[Date (Month)].&amp;[Feb]" c="Feb"/>
              <i n="[Range].[Date (Month)].&amp;[Mar]" c="Mar"/>
            </range>
          </ranges>
        </level>
      </levels>
      <selections count="1">
        <selection n="[Range].[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61FE7B7-4B36-4AD0-B244-A56CE86BE1C0}" sourceName="[Range].[Product]">
  <pivotTables>
    <pivotTable tabId="3" name="PivotTable1"/>
    <pivotTable tabId="3" name="PivotTable2"/>
    <pivotTable tabId="3" name="PivotTable3"/>
    <pivotTable tabId="3" name="PivotTable4"/>
    <pivotTable tabId="3" name="PivotTable7"/>
  </pivotTables>
  <data>
    <olap pivotCacheId="640211787">
      <levels count="2">
        <level uniqueName="[Range].[Product].[(All)]" sourceCaption="(All)" count="0"/>
        <level uniqueName="[Range].[Product].[Product]" sourceCaption="Product" count="3">
          <ranges>
            <range startItem="0">
              <i n="[Range].[Product].&amp;[Product X]" c="Product X"/>
              <i n="[Range].[Product].&amp;[Product Y]" c="Product Y"/>
              <i n="[Range].[Product].&amp;[Product Z]" c="Product Z"/>
            </range>
          </ranges>
        </level>
      </levels>
      <selections count="1">
        <selection n="[Range].[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3895D43-758B-464D-A483-0F6DC716D5DE}" sourceName="[Range].[Salesperson]">
  <pivotTables>
    <pivotTable tabId="3" name="PivotTable1"/>
    <pivotTable tabId="3" name="PivotTable2"/>
    <pivotTable tabId="3" name="PivotTable3"/>
    <pivotTable tabId="3" name="PivotTable4"/>
    <pivotTable tabId="3" name="PivotTable7"/>
  </pivotTables>
  <data>
    <olap pivotCacheId="640211787">
      <levels count="2">
        <level uniqueName="[Range].[Salesperson].[(All)]" sourceCaption="(All)" count="0"/>
        <level uniqueName="[Range].[Salesperson].[Salesperson]" sourceCaption="Salesperson" count="4">
          <ranges>
            <range startItem="0">
              <i n="[Range].[Salesperson].&amp;[Arun Kumar]" c="Arun Kumar"/>
              <i n="[Range].[Salesperson].&amp;[Meera Reddy]" c="Meera Reddy"/>
              <i n="[Range].[Salesperson].&amp;[Priya Sharma]" c="Priya Sharma"/>
              <i n="[Range].[Salesperson].&amp;[Rajesh Patel]" c="Rajesh Patel"/>
            </range>
          </ranges>
        </level>
      </levels>
      <selections count="1">
        <selection n="[Range].[Salespers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0944002A-625B-47A3-934D-E092D1B61B39}" cache="Slicer_Date__Month" caption="Date (Month)" level="1" style="SlicerStyleDark4" rowHeight="241300"/>
  <slicer name="Product" xr10:uid="{75A145D3-2B6F-4FE6-A772-456DDD5E04CB}" cache="Slicer_Product" caption="Product" level="1" style="SlicerStyleDark2" rowHeight="241300"/>
  <slicer name="Salesperson" xr10:uid="{F49440CF-74D1-4F8B-8152-9DBA470E6B36}" cache="Slicer_Salesperson" caption="Salesperson"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52DAE-890A-4958-9773-313B0AF5FBA6}">
  <dimension ref="A3:H31"/>
  <sheetViews>
    <sheetView workbookViewId="0">
      <selection activeCell="B15" sqref="B15"/>
    </sheetView>
  </sheetViews>
  <sheetFormatPr defaultRowHeight="15" x14ac:dyDescent="0.25"/>
  <cols>
    <col min="1" max="1" width="13.140625" bestFit="1" customWidth="1"/>
    <col min="2" max="2" width="19.85546875" bestFit="1" customWidth="1"/>
    <col min="3" max="3" width="20" bestFit="1" customWidth="1"/>
    <col min="4" max="4" width="19.140625" customWidth="1"/>
    <col min="5" max="5" width="13.140625" bestFit="1" customWidth="1"/>
    <col min="6" max="6" width="19" bestFit="1" customWidth="1"/>
    <col min="7" max="184" width="23.140625" bestFit="1" customWidth="1"/>
    <col min="185" max="185" width="25" bestFit="1" customWidth="1"/>
    <col min="186" max="186" width="28.140625" bestFit="1" customWidth="1"/>
  </cols>
  <sheetData>
    <row r="3" spans="1:7" x14ac:dyDescent="0.25">
      <c r="A3" s="7" t="s">
        <v>67</v>
      </c>
      <c r="B3" t="s">
        <v>68</v>
      </c>
      <c r="E3" s="7" t="s">
        <v>67</v>
      </c>
      <c r="F3" t="s">
        <v>69</v>
      </c>
      <c r="G3" t="s">
        <v>74</v>
      </c>
    </row>
    <row r="4" spans="1:7" x14ac:dyDescent="0.25">
      <c r="A4" s="8" t="s">
        <v>12</v>
      </c>
      <c r="B4">
        <v>3570</v>
      </c>
      <c r="E4" s="8" t="s">
        <v>71</v>
      </c>
      <c r="F4">
        <v>99600</v>
      </c>
      <c r="G4">
        <v>693</v>
      </c>
    </row>
    <row r="5" spans="1:7" x14ac:dyDescent="0.25">
      <c r="A5" s="8" t="s">
        <v>19</v>
      </c>
      <c r="B5">
        <v>3660</v>
      </c>
      <c r="E5" s="8" t="s">
        <v>72</v>
      </c>
      <c r="F5">
        <v>96400</v>
      </c>
      <c r="G5">
        <v>691</v>
      </c>
    </row>
    <row r="6" spans="1:7" x14ac:dyDescent="0.25">
      <c r="A6" s="8" t="s">
        <v>22</v>
      </c>
      <c r="B6">
        <v>4200</v>
      </c>
      <c r="E6" s="8" t="s">
        <v>73</v>
      </c>
      <c r="F6">
        <v>106200</v>
      </c>
      <c r="G6">
        <v>764</v>
      </c>
    </row>
    <row r="7" spans="1:7" x14ac:dyDescent="0.25">
      <c r="A7" s="8" t="s">
        <v>15</v>
      </c>
      <c r="B7">
        <v>3680</v>
      </c>
      <c r="E7" s="8" t="s">
        <v>65</v>
      </c>
      <c r="F7">
        <v>302200</v>
      </c>
      <c r="G7">
        <v>2148</v>
      </c>
    </row>
    <row r="8" spans="1:7" x14ac:dyDescent="0.25">
      <c r="A8" s="8" t="s">
        <v>65</v>
      </c>
      <c r="B8">
        <v>15110</v>
      </c>
    </row>
    <row r="9" spans="1:7" x14ac:dyDescent="0.25">
      <c r="E9" s="7" t="s">
        <v>67</v>
      </c>
      <c r="F9" t="s">
        <v>70</v>
      </c>
    </row>
    <row r="10" spans="1:7" x14ac:dyDescent="0.25">
      <c r="E10" s="8" t="s">
        <v>13</v>
      </c>
      <c r="F10">
        <v>303</v>
      </c>
    </row>
    <row r="11" spans="1:7" x14ac:dyDescent="0.25">
      <c r="A11" s="7" t="s">
        <v>67</v>
      </c>
      <c r="B11" t="s">
        <v>66</v>
      </c>
      <c r="E11" s="8" t="s">
        <v>23</v>
      </c>
      <c r="F11">
        <v>330</v>
      </c>
    </row>
    <row r="12" spans="1:7" x14ac:dyDescent="0.25">
      <c r="A12" s="8" t="s">
        <v>13</v>
      </c>
      <c r="B12">
        <v>11466000</v>
      </c>
      <c r="E12" s="8" t="s">
        <v>16</v>
      </c>
      <c r="F12">
        <v>263</v>
      </c>
    </row>
    <row r="13" spans="1:7" x14ac:dyDescent="0.25">
      <c r="A13" s="8" t="s">
        <v>23</v>
      </c>
      <c r="B13">
        <v>16472000</v>
      </c>
      <c r="E13" s="8" t="s">
        <v>20</v>
      </c>
      <c r="F13">
        <v>189</v>
      </c>
    </row>
    <row r="14" spans="1:7" x14ac:dyDescent="0.25">
      <c r="A14" s="8" t="s">
        <v>16</v>
      </c>
      <c r="B14">
        <v>12020000</v>
      </c>
      <c r="E14" s="8" t="s">
        <v>65</v>
      </c>
      <c r="F14">
        <v>1085</v>
      </c>
    </row>
    <row r="15" spans="1:7" x14ac:dyDescent="0.25">
      <c r="A15" s="8" t="s">
        <v>20</v>
      </c>
      <c r="B15">
        <v>12568000</v>
      </c>
    </row>
    <row r="16" spans="1:7" x14ac:dyDescent="0.25">
      <c r="A16" s="8" t="s">
        <v>65</v>
      </c>
      <c r="B16">
        <v>52526000</v>
      </c>
    </row>
    <row r="17" spans="1:8" x14ac:dyDescent="0.25">
      <c r="E17" s="7" t="s">
        <v>67</v>
      </c>
      <c r="F17" t="s">
        <v>68</v>
      </c>
      <c r="G17" t="s">
        <v>74</v>
      </c>
      <c r="H17" t="s">
        <v>70</v>
      </c>
    </row>
    <row r="18" spans="1:8" x14ac:dyDescent="0.25">
      <c r="E18" s="8" t="s">
        <v>14</v>
      </c>
      <c r="F18">
        <v>4410</v>
      </c>
      <c r="G18">
        <v>647</v>
      </c>
      <c r="H18">
        <v>296</v>
      </c>
    </row>
    <row r="19" spans="1:8" x14ac:dyDescent="0.25">
      <c r="A19" s="7" t="s">
        <v>67</v>
      </c>
      <c r="B19" t="s">
        <v>68</v>
      </c>
      <c r="E19" s="8" t="s">
        <v>17</v>
      </c>
      <c r="F19">
        <v>5170</v>
      </c>
      <c r="G19">
        <v>752</v>
      </c>
      <c r="H19">
        <v>382</v>
      </c>
    </row>
    <row r="20" spans="1:8" x14ac:dyDescent="0.25">
      <c r="A20" s="8" t="s">
        <v>14</v>
      </c>
      <c r="B20">
        <v>4410</v>
      </c>
      <c r="E20" s="8" t="s">
        <v>24</v>
      </c>
      <c r="F20">
        <v>5530</v>
      </c>
      <c r="G20">
        <v>749</v>
      </c>
      <c r="H20">
        <v>407</v>
      </c>
    </row>
    <row r="21" spans="1:8" x14ac:dyDescent="0.25">
      <c r="A21" s="8" t="s">
        <v>17</v>
      </c>
      <c r="B21">
        <v>5170</v>
      </c>
      <c r="E21" s="8" t="s">
        <v>65</v>
      </c>
      <c r="F21">
        <v>15110</v>
      </c>
      <c r="G21">
        <v>2148</v>
      </c>
      <c r="H21">
        <v>1085</v>
      </c>
    </row>
    <row r="22" spans="1:8" x14ac:dyDescent="0.25">
      <c r="A22" s="8" t="s">
        <v>24</v>
      </c>
      <c r="B22">
        <v>5530</v>
      </c>
    </row>
    <row r="23" spans="1:8" x14ac:dyDescent="0.25">
      <c r="A23" s="8" t="s">
        <v>65</v>
      </c>
      <c r="B23">
        <v>15110</v>
      </c>
    </row>
    <row r="24" spans="1:8" x14ac:dyDescent="0.25">
      <c r="E24" s="7" t="s">
        <v>67</v>
      </c>
      <c r="F24" t="s">
        <v>70</v>
      </c>
      <c r="G24" t="s">
        <v>74</v>
      </c>
    </row>
    <row r="25" spans="1:8" x14ac:dyDescent="0.25">
      <c r="E25" s="8" t="s">
        <v>13</v>
      </c>
      <c r="F25">
        <v>303</v>
      </c>
      <c r="G25">
        <v>532</v>
      </c>
    </row>
    <row r="26" spans="1:8" x14ac:dyDescent="0.25">
      <c r="A26" s="7" t="s">
        <v>67</v>
      </c>
      <c r="B26" t="s">
        <v>69</v>
      </c>
      <c r="E26" s="8" t="s">
        <v>23</v>
      </c>
      <c r="F26">
        <v>330</v>
      </c>
      <c r="G26">
        <v>598</v>
      </c>
    </row>
    <row r="27" spans="1:8" x14ac:dyDescent="0.25">
      <c r="A27" s="8" t="s">
        <v>12</v>
      </c>
      <c r="B27">
        <v>71400</v>
      </c>
      <c r="E27" s="8" t="s">
        <v>16</v>
      </c>
      <c r="F27">
        <v>263</v>
      </c>
      <c r="G27">
        <v>524</v>
      </c>
    </row>
    <row r="28" spans="1:8" x14ac:dyDescent="0.25">
      <c r="A28" s="8" t="s">
        <v>19</v>
      </c>
      <c r="B28">
        <v>73200</v>
      </c>
      <c r="E28" s="8" t="s">
        <v>20</v>
      </c>
      <c r="F28">
        <v>189</v>
      </c>
      <c r="G28">
        <v>494</v>
      </c>
    </row>
    <row r="29" spans="1:8" x14ac:dyDescent="0.25">
      <c r="A29" s="8" t="s">
        <v>22</v>
      </c>
      <c r="B29">
        <v>84000</v>
      </c>
      <c r="E29" s="8" t="s">
        <v>65</v>
      </c>
      <c r="F29">
        <v>1085</v>
      </c>
      <c r="G29">
        <v>2148</v>
      </c>
    </row>
    <row r="30" spans="1:8" x14ac:dyDescent="0.25">
      <c r="A30" s="8" t="s">
        <v>15</v>
      </c>
      <c r="B30">
        <v>73600</v>
      </c>
    </row>
    <row r="31" spans="1:8" x14ac:dyDescent="0.25">
      <c r="A31" s="8" t="s">
        <v>65</v>
      </c>
      <c r="B31">
        <v>302200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AE750-B913-4127-9997-D15E9F90CF3D}">
  <sheetPr>
    <pageSetUpPr fitToPage="1"/>
  </sheetPr>
  <dimension ref="A1:J157"/>
  <sheetViews>
    <sheetView topLeftCell="E1" zoomScale="115" zoomScaleNormal="115" workbookViewId="0">
      <pane ySplit="1" topLeftCell="A9" activePane="bottomLeft" state="frozen"/>
      <selection pane="bottomLeft" activeCell="N14" sqref="N14"/>
    </sheetView>
  </sheetViews>
  <sheetFormatPr defaultRowHeight="15" x14ac:dyDescent="0.25"/>
  <cols>
    <col min="1" max="1" width="27.5703125" customWidth="1"/>
    <col min="2" max="2" width="16.28515625" customWidth="1"/>
    <col min="3" max="3" width="18.7109375" bestFit="1" customWidth="1"/>
    <col min="4" max="4" width="19.85546875" customWidth="1"/>
    <col min="5" max="5" width="16.5703125" customWidth="1"/>
    <col min="6" max="6" width="12.140625" customWidth="1"/>
    <col min="7" max="7" width="16" customWidth="1"/>
    <col min="8" max="8" width="22.42578125" bestFit="1" customWidth="1"/>
    <col min="9" max="9" width="13" customWidth="1"/>
    <col min="13" max="13" width="13.140625" bestFit="1" customWidth="1"/>
    <col min="14" max="14" width="19.85546875" bestFit="1" customWidth="1"/>
    <col min="15" max="15" width="23.140625" bestFit="1" customWidth="1"/>
  </cols>
  <sheetData>
    <row r="1" spans="1:10" ht="72.75" customHeight="1" x14ac:dyDescent="0.25">
      <c r="A1" s="22" t="s">
        <v>0</v>
      </c>
      <c r="B1" s="22"/>
      <c r="C1" s="22"/>
      <c r="D1" s="22"/>
      <c r="E1" s="22"/>
      <c r="F1" s="22"/>
      <c r="G1" s="22"/>
      <c r="H1" s="23" t="s">
        <v>1</v>
      </c>
      <c r="I1" s="23"/>
      <c r="J1" s="23"/>
    </row>
    <row r="3" spans="1:10" ht="30" x14ac:dyDescent="0.25">
      <c r="A3" s="1" t="s">
        <v>2</v>
      </c>
      <c r="B3" s="1" t="s">
        <v>3</v>
      </c>
      <c r="C3" s="1" t="s">
        <v>4</v>
      </c>
      <c r="D3" s="1" t="s">
        <v>5</v>
      </c>
      <c r="E3" s="1" t="s">
        <v>6</v>
      </c>
      <c r="F3" s="1" t="s">
        <v>7</v>
      </c>
      <c r="G3" s="1" t="s">
        <v>8</v>
      </c>
      <c r="H3" s="1" t="s">
        <v>9</v>
      </c>
      <c r="I3" s="1" t="s">
        <v>10</v>
      </c>
    </row>
    <row r="4" spans="1:10" ht="15" customHeight="1" x14ac:dyDescent="0.25">
      <c r="A4" s="2">
        <v>45292</v>
      </c>
      <c r="B4" s="3" t="s">
        <v>12</v>
      </c>
      <c r="C4" s="3" t="s">
        <v>13</v>
      </c>
      <c r="D4" s="3" t="s">
        <v>14</v>
      </c>
      <c r="E4" s="3">
        <v>150</v>
      </c>
      <c r="F4" s="3">
        <v>3000</v>
      </c>
      <c r="G4" s="3">
        <v>10</v>
      </c>
      <c r="H4" s="3">
        <v>20</v>
      </c>
      <c r="I4" s="4">
        <f>E4*F4</f>
        <v>450000</v>
      </c>
    </row>
    <row r="5" spans="1:10" x14ac:dyDescent="0.25">
      <c r="A5" s="2">
        <v>45293</v>
      </c>
      <c r="B5" s="3" t="s">
        <v>15</v>
      </c>
      <c r="C5" s="3" t="s">
        <v>16</v>
      </c>
      <c r="D5" s="3" t="s">
        <v>17</v>
      </c>
      <c r="E5" s="3">
        <v>200</v>
      </c>
      <c r="F5" s="3">
        <v>4000</v>
      </c>
      <c r="G5" s="3">
        <v>15</v>
      </c>
      <c r="H5" s="3">
        <v>25</v>
      </c>
      <c r="I5" s="4">
        <f t="shared" ref="I5:I68" si="0">E5*F5</f>
        <v>800000</v>
      </c>
    </row>
    <row r="6" spans="1:10" x14ac:dyDescent="0.25">
      <c r="A6" s="2">
        <v>45294</v>
      </c>
      <c r="B6" s="3" t="s">
        <v>19</v>
      </c>
      <c r="C6" s="3" t="s">
        <v>20</v>
      </c>
      <c r="D6" s="3" t="s">
        <v>14</v>
      </c>
      <c r="E6" s="3">
        <v>120</v>
      </c>
      <c r="F6" s="3">
        <v>2400</v>
      </c>
      <c r="G6" s="3">
        <v>5</v>
      </c>
      <c r="H6" s="3">
        <v>18</v>
      </c>
      <c r="I6" s="4">
        <f t="shared" si="0"/>
        <v>288000</v>
      </c>
    </row>
    <row r="7" spans="1:10" x14ac:dyDescent="0.25">
      <c r="A7" s="2">
        <v>45295</v>
      </c>
      <c r="B7" s="3" t="s">
        <v>22</v>
      </c>
      <c r="C7" s="3" t="s">
        <v>23</v>
      </c>
      <c r="D7" s="3" t="s">
        <v>24</v>
      </c>
      <c r="E7" s="3">
        <v>250</v>
      </c>
      <c r="F7" s="3">
        <v>5000</v>
      </c>
      <c r="G7" s="3">
        <v>20</v>
      </c>
      <c r="H7" s="3">
        <v>30</v>
      </c>
      <c r="I7" s="4">
        <f t="shared" si="0"/>
        <v>1250000</v>
      </c>
    </row>
    <row r="8" spans="1:10" x14ac:dyDescent="0.25">
      <c r="A8" s="2">
        <v>45296</v>
      </c>
      <c r="B8" s="3" t="s">
        <v>12</v>
      </c>
      <c r="C8" s="3" t="s">
        <v>13</v>
      </c>
      <c r="D8" s="3" t="s">
        <v>17</v>
      </c>
      <c r="E8" s="3">
        <v>100</v>
      </c>
      <c r="F8" s="3">
        <v>2000</v>
      </c>
      <c r="G8" s="3">
        <v>10</v>
      </c>
      <c r="H8" s="3">
        <v>22</v>
      </c>
      <c r="I8" s="4">
        <f t="shared" si="0"/>
        <v>200000</v>
      </c>
    </row>
    <row r="9" spans="1:10" x14ac:dyDescent="0.25">
      <c r="A9" s="2">
        <v>45297</v>
      </c>
      <c r="B9" s="3" t="s">
        <v>15</v>
      </c>
      <c r="C9" s="3" t="s">
        <v>16</v>
      </c>
      <c r="D9" s="3" t="s">
        <v>14</v>
      </c>
      <c r="E9" s="3">
        <v>180</v>
      </c>
      <c r="F9" s="3">
        <v>3600</v>
      </c>
      <c r="G9" s="3">
        <v>12</v>
      </c>
      <c r="H9" s="3">
        <v>19</v>
      </c>
      <c r="I9" s="4">
        <f t="shared" si="0"/>
        <v>648000</v>
      </c>
    </row>
    <row r="10" spans="1:10" x14ac:dyDescent="0.25">
      <c r="A10" s="2">
        <v>45298</v>
      </c>
      <c r="B10" s="3" t="s">
        <v>19</v>
      </c>
      <c r="C10" s="3" t="s">
        <v>20</v>
      </c>
      <c r="D10" s="3" t="s">
        <v>17</v>
      </c>
      <c r="E10" s="3">
        <v>150</v>
      </c>
      <c r="F10" s="3">
        <v>3000</v>
      </c>
      <c r="G10" s="3">
        <v>8</v>
      </c>
      <c r="H10" s="3">
        <v>21</v>
      </c>
      <c r="I10" s="4">
        <f t="shared" si="0"/>
        <v>450000</v>
      </c>
    </row>
    <row r="11" spans="1:10" x14ac:dyDescent="0.25">
      <c r="A11" s="2">
        <v>45299</v>
      </c>
      <c r="B11" s="3" t="s">
        <v>22</v>
      </c>
      <c r="C11" s="3" t="s">
        <v>23</v>
      </c>
      <c r="D11" s="3" t="s">
        <v>14</v>
      </c>
      <c r="E11" s="3">
        <v>200</v>
      </c>
      <c r="F11" s="3">
        <v>4000</v>
      </c>
      <c r="G11" s="3">
        <v>15</v>
      </c>
      <c r="H11" s="3">
        <v>27</v>
      </c>
      <c r="I11" s="4">
        <f t="shared" si="0"/>
        <v>800000</v>
      </c>
    </row>
    <row r="12" spans="1:10" x14ac:dyDescent="0.25">
      <c r="A12" s="2">
        <v>45300</v>
      </c>
      <c r="B12" s="3" t="s">
        <v>12</v>
      </c>
      <c r="C12" s="3" t="s">
        <v>13</v>
      </c>
      <c r="D12" s="3" t="s">
        <v>24</v>
      </c>
      <c r="E12" s="3">
        <v>170</v>
      </c>
      <c r="F12" s="3">
        <v>3400</v>
      </c>
      <c r="G12" s="3">
        <v>18</v>
      </c>
      <c r="H12" s="3">
        <v>23</v>
      </c>
      <c r="I12" s="4">
        <f t="shared" si="0"/>
        <v>578000</v>
      </c>
    </row>
    <row r="13" spans="1:10" x14ac:dyDescent="0.25">
      <c r="A13" s="2">
        <v>45301</v>
      </c>
      <c r="B13" s="3" t="s">
        <v>15</v>
      </c>
      <c r="C13" s="3" t="s">
        <v>16</v>
      </c>
      <c r="D13" s="3" t="s">
        <v>24</v>
      </c>
      <c r="E13" s="3">
        <v>130</v>
      </c>
      <c r="F13" s="3">
        <v>2600</v>
      </c>
      <c r="G13" s="3">
        <v>10</v>
      </c>
      <c r="H13" s="3">
        <v>20</v>
      </c>
      <c r="I13" s="4">
        <f t="shared" si="0"/>
        <v>338000</v>
      </c>
    </row>
    <row r="14" spans="1:10" x14ac:dyDescent="0.25">
      <c r="A14" s="2">
        <v>45302</v>
      </c>
      <c r="B14" s="3" t="s">
        <v>19</v>
      </c>
      <c r="C14" s="3" t="s">
        <v>20</v>
      </c>
      <c r="D14" s="3" t="s">
        <v>14</v>
      </c>
      <c r="E14" s="3">
        <v>160</v>
      </c>
      <c r="F14" s="3">
        <v>3200</v>
      </c>
      <c r="G14" s="3">
        <v>5</v>
      </c>
      <c r="H14" s="3">
        <v>22</v>
      </c>
      <c r="I14" s="4">
        <f t="shared" si="0"/>
        <v>512000</v>
      </c>
    </row>
    <row r="15" spans="1:10" x14ac:dyDescent="0.25">
      <c r="A15" s="2">
        <v>45303</v>
      </c>
      <c r="B15" s="3" t="s">
        <v>22</v>
      </c>
      <c r="C15" s="3" t="s">
        <v>23</v>
      </c>
      <c r="D15" s="3" t="s">
        <v>17</v>
      </c>
      <c r="E15" s="3">
        <v>180</v>
      </c>
      <c r="F15" s="3">
        <v>3600</v>
      </c>
      <c r="G15" s="3">
        <v>12</v>
      </c>
      <c r="H15" s="3">
        <v>25</v>
      </c>
      <c r="I15" s="4">
        <f t="shared" si="0"/>
        <v>648000</v>
      </c>
    </row>
    <row r="16" spans="1:10" x14ac:dyDescent="0.25">
      <c r="A16" s="2">
        <v>45304</v>
      </c>
      <c r="B16" s="3" t="s">
        <v>12</v>
      </c>
      <c r="C16" s="3" t="s">
        <v>13</v>
      </c>
      <c r="D16" s="3" t="s">
        <v>17</v>
      </c>
      <c r="E16" s="3">
        <v>140</v>
      </c>
      <c r="F16" s="3">
        <v>2800</v>
      </c>
      <c r="G16" s="3">
        <v>11</v>
      </c>
      <c r="H16" s="3">
        <v>24</v>
      </c>
      <c r="I16" s="4">
        <f t="shared" si="0"/>
        <v>392000</v>
      </c>
    </row>
    <row r="17" spans="1:9" x14ac:dyDescent="0.25">
      <c r="A17" s="2">
        <v>45305</v>
      </c>
      <c r="B17" s="3" t="s">
        <v>15</v>
      </c>
      <c r="C17" s="3" t="s">
        <v>16</v>
      </c>
      <c r="D17" s="3" t="s">
        <v>14</v>
      </c>
      <c r="E17" s="3">
        <v>150</v>
      </c>
      <c r="F17" s="3">
        <v>3000</v>
      </c>
      <c r="G17" s="3">
        <v>8</v>
      </c>
      <c r="H17" s="3">
        <v>20</v>
      </c>
      <c r="I17" s="4">
        <f t="shared" si="0"/>
        <v>450000</v>
      </c>
    </row>
    <row r="18" spans="1:9" x14ac:dyDescent="0.25">
      <c r="A18" s="2">
        <v>45306</v>
      </c>
      <c r="B18" s="3" t="s">
        <v>19</v>
      </c>
      <c r="C18" s="3" t="s">
        <v>20</v>
      </c>
      <c r="D18" s="3" t="s">
        <v>24</v>
      </c>
      <c r="E18" s="3">
        <v>190</v>
      </c>
      <c r="F18" s="3">
        <v>3800</v>
      </c>
      <c r="G18" s="3">
        <v>7</v>
      </c>
      <c r="H18" s="3">
        <v>19</v>
      </c>
      <c r="I18" s="4">
        <f t="shared" si="0"/>
        <v>722000</v>
      </c>
    </row>
    <row r="19" spans="1:9" x14ac:dyDescent="0.25">
      <c r="A19" s="2">
        <v>45307</v>
      </c>
      <c r="B19" s="3" t="s">
        <v>22</v>
      </c>
      <c r="C19" s="3" t="s">
        <v>23</v>
      </c>
      <c r="D19" s="3" t="s">
        <v>24</v>
      </c>
      <c r="E19" s="3">
        <v>210</v>
      </c>
      <c r="F19" s="3">
        <v>4200</v>
      </c>
      <c r="G19" s="3">
        <v>16</v>
      </c>
      <c r="H19" s="3">
        <v>28</v>
      </c>
      <c r="I19" s="4">
        <f t="shared" si="0"/>
        <v>882000</v>
      </c>
    </row>
    <row r="20" spans="1:9" x14ac:dyDescent="0.25">
      <c r="A20" s="2">
        <v>45308</v>
      </c>
      <c r="B20" s="3" t="s">
        <v>12</v>
      </c>
      <c r="C20" s="3" t="s">
        <v>13</v>
      </c>
      <c r="D20" s="3" t="s">
        <v>24</v>
      </c>
      <c r="E20" s="3">
        <v>160</v>
      </c>
      <c r="F20" s="3">
        <v>3200</v>
      </c>
      <c r="G20" s="3">
        <v>12</v>
      </c>
      <c r="H20" s="3">
        <v>22</v>
      </c>
      <c r="I20" s="4">
        <f t="shared" si="0"/>
        <v>512000</v>
      </c>
    </row>
    <row r="21" spans="1:9" x14ac:dyDescent="0.25">
      <c r="A21" s="2">
        <v>45309</v>
      </c>
      <c r="B21" s="3" t="s">
        <v>15</v>
      </c>
      <c r="C21" s="3" t="s">
        <v>16</v>
      </c>
      <c r="D21" s="3" t="s">
        <v>17</v>
      </c>
      <c r="E21" s="3">
        <v>170</v>
      </c>
      <c r="F21" s="3">
        <v>3400</v>
      </c>
      <c r="G21" s="3">
        <v>14</v>
      </c>
      <c r="H21" s="3">
        <v>26</v>
      </c>
      <c r="I21" s="4">
        <f t="shared" si="0"/>
        <v>578000</v>
      </c>
    </row>
    <row r="22" spans="1:9" x14ac:dyDescent="0.25">
      <c r="A22" s="2">
        <v>45310</v>
      </c>
      <c r="B22" s="3" t="s">
        <v>19</v>
      </c>
      <c r="C22" s="3" t="s">
        <v>20</v>
      </c>
      <c r="D22" s="3" t="s">
        <v>14</v>
      </c>
      <c r="E22" s="3">
        <v>140</v>
      </c>
      <c r="F22" s="3">
        <v>2800</v>
      </c>
      <c r="G22" s="3">
        <v>6</v>
      </c>
      <c r="H22" s="3">
        <v>21</v>
      </c>
      <c r="I22" s="4">
        <f t="shared" si="0"/>
        <v>392000</v>
      </c>
    </row>
    <row r="23" spans="1:9" x14ac:dyDescent="0.25">
      <c r="A23" s="2">
        <v>45311</v>
      </c>
      <c r="B23" s="3" t="s">
        <v>22</v>
      </c>
      <c r="C23" s="3" t="s">
        <v>23</v>
      </c>
      <c r="D23" s="3" t="s">
        <v>17</v>
      </c>
      <c r="E23" s="3">
        <v>220</v>
      </c>
      <c r="F23" s="3">
        <v>4400</v>
      </c>
      <c r="G23" s="3">
        <v>18</v>
      </c>
      <c r="H23" s="3">
        <v>29</v>
      </c>
      <c r="I23" s="4">
        <f t="shared" si="0"/>
        <v>968000</v>
      </c>
    </row>
    <row r="24" spans="1:9" x14ac:dyDescent="0.25">
      <c r="A24" s="2">
        <v>45312</v>
      </c>
      <c r="B24" s="3" t="s">
        <v>12</v>
      </c>
      <c r="C24" s="3" t="s">
        <v>13</v>
      </c>
      <c r="D24" s="3" t="s">
        <v>14</v>
      </c>
      <c r="E24" s="3">
        <v>130</v>
      </c>
      <c r="F24" s="3">
        <v>2600</v>
      </c>
      <c r="G24" s="3">
        <v>11</v>
      </c>
      <c r="H24" s="3">
        <v>23</v>
      </c>
      <c r="I24" s="4">
        <f t="shared" si="0"/>
        <v>338000</v>
      </c>
    </row>
    <row r="25" spans="1:9" x14ac:dyDescent="0.25">
      <c r="A25" s="2">
        <v>45313</v>
      </c>
      <c r="B25" s="3" t="s">
        <v>15</v>
      </c>
      <c r="C25" s="3" t="s">
        <v>16</v>
      </c>
      <c r="D25" s="3" t="s">
        <v>24</v>
      </c>
      <c r="E25" s="3">
        <v>140</v>
      </c>
      <c r="F25" s="3">
        <v>2800</v>
      </c>
      <c r="G25" s="3">
        <v>9</v>
      </c>
      <c r="H25" s="3">
        <v>20</v>
      </c>
      <c r="I25" s="4">
        <f t="shared" si="0"/>
        <v>392000</v>
      </c>
    </row>
    <row r="26" spans="1:9" x14ac:dyDescent="0.25">
      <c r="A26" s="2">
        <v>45314</v>
      </c>
      <c r="B26" s="3" t="s">
        <v>19</v>
      </c>
      <c r="C26" s="3" t="s">
        <v>20</v>
      </c>
      <c r="D26" s="3" t="s">
        <v>17</v>
      </c>
      <c r="E26" s="3">
        <v>190</v>
      </c>
      <c r="F26" s="3">
        <v>3800</v>
      </c>
      <c r="G26" s="3">
        <v>10</v>
      </c>
      <c r="H26" s="3">
        <v>22</v>
      </c>
      <c r="I26" s="4">
        <f t="shared" si="0"/>
        <v>722000</v>
      </c>
    </row>
    <row r="27" spans="1:9" x14ac:dyDescent="0.25">
      <c r="A27" s="2">
        <v>45315</v>
      </c>
      <c r="B27" s="3" t="s">
        <v>22</v>
      </c>
      <c r="C27" s="3" t="s">
        <v>23</v>
      </c>
      <c r="D27" s="3" t="s">
        <v>14</v>
      </c>
      <c r="E27" s="3">
        <v>160</v>
      </c>
      <c r="F27" s="3">
        <v>3200</v>
      </c>
      <c r="G27" s="3">
        <v>13</v>
      </c>
      <c r="H27" s="3">
        <v>26</v>
      </c>
      <c r="I27" s="4">
        <f t="shared" si="0"/>
        <v>512000</v>
      </c>
    </row>
    <row r="28" spans="1:9" x14ac:dyDescent="0.25">
      <c r="A28" s="2">
        <v>45316</v>
      </c>
      <c r="B28" s="3" t="s">
        <v>12</v>
      </c>
      <c r="C28" s="3" t="s">
        <v>13</v>
      </c>
      <c r="D28" s="3" t="s">
        <v>24</v>
      </c>
      <c r="E28" s="3">
        <v>180</v>
      </c>
      <c r="F28" s="3">
        <v>3600</v>
      </c>
      <c r="G28" s="3">
        <v>15</v>
      </c>
      <c r="H28" s="3">
        <v>24</v>
      </c>
      <c r="I28" s="4">
        <f t="shared" si="0"/>
        <v>648000</v>
      </c>
    </row>
    <row r="29" spans="1:9" x14ac:dyDescent="0.25">
      <c r="A29" s="2">
        <v>45317</v>
      </c>
      <c r="B29" s="3" t="s">
        <v>15</v>
      </c>
      <c r="C29" s="3" t="s">
        <v>16</v>
      </c>
      <c r="D29" s="3" t="s">
        <v>14</v>
      </c>
      <c r="E29" s="3">
        <v>170</v>
      </c>
      <c r="F29" s="3">
        <v>3400</v>
      </c>
      <c r="G29" s="3">
        <v>8</v>
      </c>
      <c r="H29" s="3">
        <v>21</v>
      </c>
      <c r="I29" s="4">
        <f t="shared" si="0"/>
        <v>578000</v>
      </c>
    </row>
    <row r="30" spans="1:9" ht="15" customHeight="1" x14ac:dyDescent="0.25">
      <c r="A30" s="2">
        <v>45318</v>
      </c>
      <c r="B30" s="3" t="s">
        <v>19</v>
      </c>
      <c r="C30" s="3" t="s">
        <v>20</v>
      </c>
      <c r="D30" s="3" t="s">
        <v>24</v>
      </c>
      <c r="E30" s="3">
        <v>200</v>
      </c>
      <c r="F30" s="3">
        <v>4000</v>
      </c>
      <c r="G30" s="3">
        <v>12</v>
      </c>
      <c r="H30" s="3">
        <v>28</v>
      </c>
      <c r="I30" s="4">
        <f t="shared" si="0"/>
        <v>800000</v>
      </c>
    </row>
    <row r="31" spans="1:9" ht="15" customHeight="1" x14ac:dyDescent="0.25">
      <c r="A31" s="2">
        <v>45319</v>
      </c>
      <c r="B31" s="3" t="s">
        <v>22</v>
      </c>
      <c r="C31" s="3" t="s">
        <v>23</v>
      </c>
      <c r="D31" s="3" t="s">
        <v>17</v>
      </c>
      <c r="E31" s="3">
        <v>150</v>
      </c>
      <c r="F31" s="3">
        <v>3000</v>
      </c>
      <c r="G31" s="3">
        <v>16</v>
      </c>
      <c r="H31" s="3">
        <v>25</v>
      </c>
      <c r="I31" s="4">
        <f t="shared" si="0"/>
        <v>450000</v>
      </c>
    </row>
    <row r="32" spans="1:9" x14ac:dyDescent="0.25">
      <c r="A32" s="2">
        <v>45320</v>
      </c>
      <c r="B32" s="3" t="s">
        <v>12</v>
      </c>
      <c r="C32" s="3" t="s">
        <v>13</v>
      </c>
      <c r="D32" s="3" t="s">
        <v>17</v>
      </c>
      <c r="E32" s="3">
        <v>110</v>
      </c>
      <c r="F32" s="3">
        <v>2200</v>
      </c>
      <c r="G32" s="3">
        <v>14</v>
      </c>
      <c r="H32" s="3">
        <v>20</v>
      </c>
      <c r="I32" s="4">
        <f t="shared" si="0"/>
        <v>242000</v>
      </c>
    </row>
    <row r="33" spans="1:9" x14ac:dyDescent="0.25">
      <c r="A33" s="2">
        <v>45321</v>
      </c>
      <c r="B33" s="3" t="s">
        <v>15</v>
      </c>
      <c r="C33" s="3" t="s">
        <v>16</v>
      </c>
      <c r="D33" s="3" t="s">
        <v>24</v>
      </c>
      <c r="E33" s="3">
        <v>180</v>
      </c>
      <c r="F33" s="3">
        <v>3600</v>
      </c>
      <c r="G33" s="3">
        <v>11</v>
      </c>
      <c r="H33" s="3">
        <v>23</v>
      </c>
      <c r="I33" s="4">
        <f t="shared" si="0"/>
        <v>648000</v>
      </c>
    </row>
    <row r="34" spans="1:9" x14ac:dyDescent="0.25">
      <c r="A34" s="2">
        <v>45323</v>
      </c>
      <c r="B34" s="3" t="s">
        <v>12</v>
      </c>
      <c r="C34" s="3" t="s">
        <v>13</v>
      </c>
      <c r="D34" s="3" t="s">
        <v>17</v>
      </c>
      <c r="E34" s="3">
        <v>160</v>
      </c>
      <c r="F34" s="3">
        <v>3200</v>
      </c>
      <c r="G34" s="3">
        <v>12</v>
      </c>
      <c r="H34" s="3">
        <v>22</v>
      </c>
      <c r="I34" s="4">
        <f t="shared" si="0"/>
        <v>512000</v>
      </c>
    </row>
    <row r="35" spans="1:9" x14ac:dyDescent="0.25">
      <c r="A35" s="2">
        <v>45324</v>
      </c>
      <c r="B35" s="3" t="s">
        <v>15</v>
      </c>
      <c r="C35" s="3" t="s">
        <v>16</v>
      </c>
      <c r="D35" s="3" t="s">
        <v>24</v>
      </c>
      <c r="E35" s="3">
        <v>140</v>
      </c>
      <c r="F35" s="3">
        <v>2800</v>
      </c>
      <c r="G35" s="3">
        <v>14</v>
      </c>
      <c r="H35" s="3">
        <v>25</v>
      </c>
      <c r="I35" s="4">
        <f t="shared" si="0"/>
        <v>392000</v>
      </c>
    </row>
    <row r="36" spans="1:9" x14ac:dyDescent="0.25">
      <c r="A36" s="2">
        <v>45325</v>
      </c>
      <c r="B36" s="3" t="s">
        <v>19</v>
      </c>
      <c r="C36" s="3" t="s">
        <v>20</v>
      </c>
      <c r="D36" s="3" t="s">
        <v>14</v>
      </c>
      <c r="E36" s="3">
        <v>110</v>
      </c>
      <c r="F36" s="3">
        <v>2200</v>
      </c>
      <c r="G36" s="3">
        <v>8</v>
      </c>
      <c r="H36" s="3">
        <v>20</v>
      </c>
      <c r="I36" s="4">
        <f t="shared" si="0"/>
        <v>242000</v>
      </c>
    </row>
    <row r="37" spans="1:9" x14ac:dyDescent="0.25">
      <c r="A37" s="2">
        <v>45326</v>
      </c>
      <c r="B37" s="3" t="s">
        <v>22</v>
      </c>
      <c r="C37" s="3" t="s">
        <v>23</v>
      </c>
      <c r="D37" s="3" t="s">
        <v>17</v>
      </c>
      <c r="E37" s="3">
        <v>230</v>
      </c>
      <c r="F37" s="3">
        <v>4600</v>
      </c>
      <c r="G37" s="3">
        <v>10</v>
      </c>
      <c r="H37" s="3">
        <v>28</v>
      </c>
      <c r="I37" s="4">
        <f t="shared" si="0"/>
        <v>1058000</v>
      </c>
    </row>
    <row r="38" spans="1:9" x14ac:dyDescent="0.25">
      <c r="A38" s="2">
        <v>45327</v>
      </c>
      <c r="B38" s="3" t="s">
        <v>12</v>
      </c>
      <c r="C38" s="3" t="s">
        <v>13</v>
      </c>
      <c r="D38" s="3" t="s">
        <v>24</v>
      </c>
      <c r="E38" s="3">
        <v>190</v>
      </c>
      <c r="F38" s="3">
        <v>3800</v>
      </c>
      <c r="G38" s="3">
        <v>15</v>
      </c>
      <c r="H38" s="3">
        <v>24</v>
      </c>
      <c r="I38" s="4">
        <f t="shared" si="0"/>
        <v>722000</v>
      </c>
    </row>
    <row r="39" spans="1:9" x14ac:dyDescent="0.25">
      <c r="A39" s="2">
        <v>45328</v>
      </c>
      <c r="B39" s="3" t="s">
        <v>15</v>
      </c>
      <c r="C39" s="3" t="s">
        <v>16</v>
      </c>
      <c r="D39" s="3" t="s">
        <v>14</v>
      </c>
      <c r="E39" s="3">
        <v>140</v>
      </c>
      <c r="F39" s="3">
        <v>2800</v>
      </c>
      <c r="G39" s="3">
        <v>11</v>
      </c>
      <c r="H39" s="3">
        <v>21</v>
      </c>
      <c r="I39" s="4">
        <f t="shared" si="0"/>
        <v>392000</v>
      </c>
    </row>
    <row r="40" spans="1:9" x14ac:dyDescent="0.25">
      <c r="A40" s="2">
        <v>45329</v>
      </c>
      <c r="B40" s="3" t="s">
        <v>19</v>
      </c>
      <c r="C40" s="3" t="s">
        <v>20</v>
      </c>
      <c r="D40" s="3" t="s">
        <v>17</v>
      </c>
      <c r="E40" s="3">
        <v>160</v>
      </c>
      <c r="F40" s="3">
        <v>3200</v>
      </c>
      <c r="G40" s="3">
        <v>7</v>
      </c>
      <c r="H40" s="3">
        <v>22</v>
      </c>
      <c r="I40" s="4">
        <f t="shared" si="0"/>
        <v>512000</v>
      </c>
    </row>
    <row r="41" spans="1:9" x14ac:dyDescent="0.25">
      <c r="A41" s="2">
        <v>45330</v>
      </c>
      <c r="B41" s="3" t="s">
        <v>22</v>
      </c>
      <c r="C41" s="3" t="s">
        <v>23</v>
      </c>
      <c r="D41" s="3" t="s">
        <v>24</v>
      </c>
      <c r="E41" s="3">
        <v>220</v>
      </c>
      <c r="F41" s="3">
        <v>4400</v>
      </c>
      <c r="G41" s="3">
        <v>18</v>
      </c>
      <c r="H41" s="3">
        <v>30</v>
      </c>
      <c r="I41" s="4">
        <f t="shared" si="0"/>
        <v>968000</v>
      </c>
    </row>
    <row r="42" spans="1:9" x14ac:dyDescent="0.25">
      <c r="A42" s="2">
        <v>45331</v>
      </c>
      <c r="B42" s="3" t="s">
        <v>12</v>
      </c>
      <c r="C42" s="3" t="s">
        <v>13</v>
      </c>
      <c r="D42" s="3" t="s">
        <v>14</v>
      </c>
      <c r="E42" s="3">
        <v>140</v>
      </c>
      <c r="F42" s="3">
        <v>2800</v>
      </c>
      <c r="G42" s="3">
        <v>12</v>
      </c>
      <c r="H42" s="3">
        <v>23</v>
      </c>
      <c r="I42" s="4">
        <f t="shared" si="0"/>
        <v>392000</v>
      </c>
    </row>
    <row r="43" spans="1:9" x14ac:dyDescent="0.25">
      <c r="A43" s="2">
        <v>45332</v>
      </c>
      <c r="B43" s="3" t="s">
        <v>15</v>
      </c>
      <c r="C43" s="3" t="s">
        <v>16</v>
      </c>
      <c r="D43" s="3" t="s">
        <v>17</v>
      </c>
      <c r="E43" s="3">
        <v>120</v>
      </c>
      <c r="F43" s="3">
        <v>2400</v>
      </c>
      <c r="G43" s="3">
        <v>10</v>
      </c>
      <c r="H43" s="3">
        <v>21</v>
      </c>
      <c r="I43" s="4">
        <f t="shared" si="0"/>
        <v>288000</v>
      </c>
    </row>
    <row r="44" spans="1:9" x14ac:dyDescent="0.25">
      <c r="A44" s="2">
        <v>45333</v>
      </c>
      <c r="B44" s="3" t="s">
        <v>19</v>
      </c>
      <c r="C44" s="3" t="s">
        <v>20</v>
      </c>
      <c r="D44" s="3" t="s">
        <v>24</v>
      </c>
      <c r="E44" s="3">
        <v>170</v>
      </c>
      <c r="F44" s="3">
        <v>3400</v>
      </c>
      <c r="G44" s="3">
        <v>9</v>
      </c>
      <c r="H44" s="3">
        <v>19</v>
      </c>
      <c r="I44" s="4">
        <f t="shared" si="0"/>
        <v>578000</v>
      </c>
    </row>
    <row r="45" spans="1:9" x14ac:dyDescent="0.25">
      <c r="A45" s="2">
        <v>45334</v>
      </c>
      <c r="B45" s="3" t="s">
        <v>22</v>
      </c>
      <c r="C45" s="3" t="s">
        <v>23</v>
      </c>
      <c r="D45" s="3" t="s">
        <v>14</v>
      </c>
      <c r="E45" s="3">
        <v>200</v>
      </c>
      <c r="F45" s="3">
        <v>4000</v>
      </c>
      <c r="G45" s="3">
        <v>14</v>
      </c>
      <c r="H45" s="3">
        <v>26</v>
      </c>
      <c r="I45" s="4">
        <f t="shared" si="0"/>
        <v>800000</v>
      </c>
    </row>
    <row r="46" spans="1:9" x14ac:dyDescent="0.25">
      <c r="A46" s="2">
        <v>45335</v>
      </c>
      <c r="B46" s="3" t="s">
        <v>12</v>
      </c>
      <c r="C46" s="3" t="s">
        <v>13</v>
      </c>
      <c r="D46" s="3" t="s">
        <v>17</v>
      </c>
      <c r="E46" s="3">
        <v>150</v>
      </c>
      <c r="F46" s="3">
        <v>3000</v>
      </c>
      <c r="G46" s="3">
        <v>11</v>
      </c>
      <c r="H46" s="3">
        <v>22</v>
      </c>
      <c r="I46" s="4">
        <f t="shared" si="0"/>
        <v>450000</v>
      </c>
    </row>
    <row r="47" spans="1:9" x14ac:dyDescent="0.25">
      <c r="A47" s="2">
        <v>45336</v>
      </c>
      <c r="B47" s="3" t="s">
        <v>15</v>
      </c>
      <c r="C47" s="3" t="s">
        <v>16</v>
      </c>
      <c r="D47" s="3" t="s">
        <v>24</v>
      </c>
      <c r="E47" s="3">
        <v>180</v>
      </c>
      <c r="F47" s="3">
        <v>3600</v>
      </c>
      <c r="G47" s="3">
        <v>16</v>
      </c>
      <c r="H47" s="3">
        <v>28</v>
      </c>
      <c r="I47" s="4">
        <f t="shared" si="0"/>
        <v>648000</v>
      </c>
    </row>
    <row r="48" spans="1:9" x14ac:dyDescent="0.25">
      <c r="A48" s="2">
        <v>45337</v>
      </c>
      <c r="B48" s="3" t="s">
        <v>19</v>
      </c>
      <c r="C48" s="3" t="s">
        <v>20</v>
      </c>
      <c r="D48" s="3" t="s">
        <v>14</v>
      </c>
      <c r="E48" s="3">
        <v>130</v>
      </c>
      <c r="F48" s="3">
        <v>2600</v>
      </c>
      <c r="G48" s="3">
        <v>6</v>
      </c>
      <c r="H48" s="3">
        <v>20</v>
      </c>
      <c r="I48" s="4">
        <f t="shared" si="0"/>
        <v>338000</v>
      </c>
    </row>
    <row r="49" spans="1:9" x14ac:dyDescent="0.25">
      <c r="A49" s="2">
        <v>45338</v>
      </c>
      <c r="B49" s="3" t="s">
        <v>22</v>
      </c>
      <c r="C49" s="3" t="s">
        <v>23</v>
      </c>
      <c r="D49" s="3" t="s">
        <v>17</v>
      </c>
      <c r="E49" s="3">
        <v>190</v>
      </c>
      <c r="F49" s="3">
        <v>3800</v>
      </c>
      <c r="G49" s="3">
        <v>12</v>
      </c>
      <c r="H49" s="3">
        <v>27</v>
      </c>
      <c r="I49" s="4">
        <f t="shared" si="0"/>
        <v>722000</v>
      </c>
    </row>
    <row r="50" spans="1:9" x14ac:dyDescent="0.25">
      <c r="A50" s="2">
        <v>45339</v>
      </c>
      <c r="B50" s="3" t="s">
        <v>12</v>
      </c>
      <c r="C50" s="3" t="s">
        <v>13</v>
      </c>
      <c r="D50" s="3" t="s">
        <v>24</v>
      </c>
      <c r="E50" s="3">
        <v>210</v>
      </c>
      <c r="F50" s="3">
        <v>4200</v>
      </c>
      <c r="G50" s="3">
        <v>17</v>
      </c>
      <c r="H50" s="3">
        <v>25</v>
      </c>
      <c r="I50" s="4">
        <f t="shared" si="0"/>
        <v>882000</v>
      </c>
    </row>
    <row r="51" spans="1:9" x14ac:dyDescent="0.25">
      <c r="A51" s="2">
        <v>45340</v>
      </c>
      <c r="B51" s="3" t="s">
        <v>15</v>
      </c>
      <c r="C51" s="3" t="s">
        <v>16</v>
      </c>
      <c r="D51" s="3" t="s">
        <v>14</v>
      </c>
      <c r="E51" s="3">
        <v>160</v>
      </c>
      <c r="F51" s="3">
        <v>3200</v>
      </c>
      <c r="G51" s="3">
        <v>8</v>
      </c>
      <c r="H51" s="3">
        <v>22</v>
      </c>
      <c r="I51" s="4">
        <f t="shared" si="0"/>
        <v>512000</v>
      </c>
    </row>
    <row r="52" spans="1:9" x14ac:dyDescent="0.25">
      <c r="A52" s="2">
        <v>45341</v>
      </c>
      <c r="B52" s="3" t="s">
        <v>19</v>
      </c>
      <c r="C52" s="3" t="s">
        <v>20</v>
      </c>
      <c r="D52" s="3" t="s">
        <v>17</v>
      </c>
      <c r="E52" s="3">
        <v>180</v>
      </c>
      <c r="F52" s="3">
        <v>3600</v>
      </c>
      <c r="G52" s="3">
        <v>9</v>
      </c>
      <c r="H52" s="3">
        <v>23</v>
      </c>
      <c r="I52" s="4">
        <f t="shared" si="0"/>
        <v>648000</v>
      </c>
    </row>
    <row r="53" spans="1:9" x14ac:dyDescent="0.25">
      <c r="A53" s="2">
        <v>45342</v>
      </c>
      <c r="B53" s="3" t="s">
        <v>22</v>
      </c>
      <c r="C53" s="3" t="s">
        <v>23</v>
      </c>
      <c r="D53" s="3" t="s">
        <v>24</v>
      </c>
      <c r="E53" s="3">
        <v>170</v>
      </c>
      <c r="F53" s="3">
        <v>3400</v>
      </c>
      <c r="G53" s="3">
        <v>14</v>
      </c>
      <c r="H53" s="3">
        <v>26</v>
      </c>
      <c r="I53" s="4">
        <f t="shared" si="0"/>
        <v>578000</v>
      </c>
    </row>
    <row r="54" spans="1:9" x14ac:dyDescent="0.25">
      <c r="A54" s="2">
        <v>45343</v>
      </c>
      <c r="B54" s="3" t="s">
        <v>12</v>
      </c>
      <c r="C54" s="3" t="s">
        <v>13</v>
      </c>
      <c r="D54" s="3" t="s">
        <v>14</v>
      </c>
      <c r="E54" s="3">
        <v>150</v>
      </c>
      <c r="F54" s="3">
        <v>3000</v>
      </c>
      <c r="G54" s="3">
        <v>13</v>
      </c>
      <c r="H54" s="3">
        <v>24</v>
      </c>
      <c r="I54" s="4">
        <f t="shared" si="0"/>
        <v>450000</v>
      </c>
    </row>
    <row r="55" spans="1:9" x14ac:dyDescent="0.25">
      <c r="A55" s="2">
        <v>45344</v>
      </c>
      <c r="B55" s="3" t="s">
        <v>15</v>
      </c>
      <c r="C55" s="3" t="s">
        <v>16</v>
      </c>
      <c r="D55" s="3" t="s">
        <v>17</v>
      </c>
      <c r="E55" s="3">
        <v>140</v>
      </c>
      <c r="F55" s="3">
        <v>2800</v>
      </c>
      <c r="G55" s="3">
        <v>12</v>
      </c>
      <c r="H55" s="3">
        <v>23</v>
      </c>
      <c r="I55" s="4">
        <f t="shared" si="0"/>
        <v>392000</v>
      </c>
    </row>
    <row r="56" spans="1:9" x14ac:dyDescent="0.25">
      <c r="A56" s="2">
        <v>45345</v>
      </c>
      <c r="B56" s="3" t="s">
        <v>19</v>
      </c>
      <c r="C56" s="3" t="s">
        <v>20</v>
      </c>
      <c r="D56" s="3" t="s">
        <v>24</v>
      </c>
      <c r="E56" s="3">
        <v>200</v>
      </c>
      <c r="F56" s="3">
        <v>4000</v>
      </c>
      <c r="G56" s="3">
        <v>10</v>
      </c>
      <c r="H56" s="3">
        <v>27</v>
      </c>
      <c r="I56" s="4">
        <f t="shared" si="0"/>
        <v>800000</v>
      </c>
    </row>
    <row r="57" spans="1:9" x14ac:dyDescent="0.25">
      <c r="A57" s="2">
        <v>45346</v>
      </c>
      <c r="B57" s="3" t="s">
        <v>22</v>
      </c>
      <c r="C57" s="3" t="s">
        <v>23</v>
      </c>
      <c r="D57" s="3" t="s">
        <v>14</v>
      </c>
      <c r="E57" s="3">
        <v>170</v>
      </c>
      <c r="F57" s="3">
        <v>3400</v>
      </c>
      <c r="G57" s="3">
        <v>15</v>
      </c>
      <c r="H57" s="3">
        <v>28</v>
      </c>
      <c r="I57" s="4">
        <f t="shared" si="0"/>
        <v>578000</v>
      </c>
    </row>
    <row r="58" spans="1:9" x14ac:dyDescent="0.25">
      <c r="A58" s="2">
        <v>45347</v>
      </c>
      <c r="B58" s="3" t="s">
        <v>12</v>
      </c>
      <c r="C58" s="3" t="s">
        <v>13</v>
      </c>
      <c r="D58" s="3" t="s">
        <v>17</v>
      </c>
      <c r="E58" s="3">
        <v>120</v>
      </c>
      <c r="F58" s="3">
        <v>2400</v>
      </c>
      <c r="G58" s="3">
        <v>14</v>
      </c>
      <c r="H58" s="3">
        <v>22</v>
      </c>
      <c r="I58" s="4">
        <f t="shared" si="0"/>
        <v>288000</v>
      </c>
    </row>
    <row r="59" spans="1:9" x14ac:dyDescent="0.25">
      <c r="A59" s="2">
        <v>45348</v>
      </c>
      <c r="B59" s="3" t="s">
        <v>15</v>
      </c>
      <c r="C59" s="3" t="s">
        <v>16</v>
      </c>
      <c r="D59" s="3" t="s">
        <v>24</v>
      </c>
      <c r="E59" s="3">
        <v>190</v>
      </c>
      <c r="F59" s="3">
        <v>3800</v>
      </c>
      <c r="G59" s="3">
        <v>11</v>
      </c>
      <c r="H59" s="3">
        <v>20</v>
      </c>
      <c r="I59" s="4">
        <f t="shared" si="0"/>
        <v>722000</v>
      </c>
    </row>
    <row r="60" spans="1:9" x14ac:dyDescent="0.25">
      <c r="A60" s="2">
        <v>45349</v>
      </c>
      <c r="B60" s="3" t="s">
        <v>19</v>
      </c>
      <c r="C60" s="3" t="s">
        <v>20</v>
      </c>
      <c r="D60" s="3" t="s">
        <v>14</v>
      </c>
      <c r="E60" s="3">
        <v>140</v>
      </c>
      <c r="F60" s="3">
        <v>2800</v>
      </c>
      <c r="G60" s="3">
        <v>7</v>
      </c>
      <c r="H60" s="3">
        <v>21</v>
      </c>
      <c r="I60" s="4">
        <f t="shared" si="0"/>
        <v>392000</v>
      </c>
    </row>
    <row r="61" spans="1:9" x14ac:dyDescent="0.25">
      <c r="A61" s="2">
        <v>45350</v>
      </c>
      <c r="B61" s="3" t="s">
        <v>22</v>
      </c>
      <c r="C61" s="3" t="s">
        <v>23</v>
      </c>
      <c r="D61" s="3" t="s">
        <v>17</v>
      </c>
      <c r="E61" s="3">
        <v>200</v>
      </c>
      <c r="F61" s="3">
        <v>4000</v>
      </c>
      <c r="G61" s="3">
        <v>16</v>
      </c>
      <c r="H61" s="3">
        <v>29</v>
      </c>
      <c r="I61" s="4">
        <f t="shared" si="0"/>
        <v>800000</v>
      </c>
    </row>
    <row r="62" spans="1:9" x14ac:dyDescent="0.25">
      <c r="A62" s="2">
        <v>45351</v>
      </c>
      <c r="B62" s="3" t="s">
        <v>12</v>
      </c>
      <c r="C62" s="3" t="s">
        <v>13</v>
      </c>
      <c r="D62" s="3" t="s">
        <v>24</v>
      </c>
      <c r="E62" s="3">
        <v>160</v>
      </c>
      <c r="F62" s="3">
        <v>3200</v>
      </c>
      <c r="G62" s="3">
        <v>13</v>
      </c>
      <c r="H62" s="3">
        <v>23</v>
      </c>
      <c r="I62" s="4">
        <f t="shared" si="0"/>
        <v>512000</v>
      </c>
    </row>
    <row r="63" spans="1:9" x14ac:dyDescent="0.25">
      <c r="A63" s="2">
        <v>45352</v>
      </c>
      <c r="B63" s="3" t="s">
        <v>15</v>
      </c>
      <c r="C63" s="3" t="s">
        <v>16</v>
      </c>
      <c r="D63" s="3" t="s">
        <v>14</v>
      </c>
      <c r="E63" s="3">
        <v>180</v>
      </c>
      <c r="F63" s="3">
        <v>3600</v>
      </c>
      <c r="G63" s="3">
        <v>10</v>
      </c>
      <c r="H63" s="3">
        <v>24</v>
      </c>
      <c r="I63" s="4">
        <f t="shared" si="0"/>
        <v>648000</v>
      </c>
    </row>
    <row r="64" spans="1:9" x14ac:dyDescent="0.25">
      <c r="A64" s="2">
        <v>45353</v>
      </c>
      <c r="B64" s="3" t="s">
        <v>19</v>
      </c>
      <c r="C64" s="3" t="s">
        <v>20</v>
      </c>
      <c r="D64" s="3" t="s">
        <v>17</v>
      </c>
      <c r="E64" s="3">
        <v>220</v>
      </c>
      <c r="F64" s="3">
        <v>4400</v>
      </c>
      <c r="G64" s="3">
        <v>9</v>
      </c>
      <c r="H64" s="3">
        <v>25</v>
      </c>
      <c r="I64" s="4">
        <f t="shared" si="0"/>
        <v>968000</v>
      </c>
    </row>
    <row r="65" spans="1:9" x14ac:dyDescent="0.25">
      <c r="A65" s="2">
        <v>45354</v>
      </c>
      <c r="B65" s="3" t="s">
        <v>22</v>
      </c>
      <c r="C65" s="3" t="s">
        <v>23</v>
      </c>
      <c r="D65" s="3" t="s">
        <v>24</v>
      </c>
      <c r="E65" s="3">
        <v>230</v>
      </c>
      <c r="F65" s="3">
        <v>4600</v>
      </c>
      <c r="G65" s="3">
        <v>17</v>
      </c>
      <c r="H65" s="3">
        <v>30</v>
      </c>
      <c r="I65" s="4">
        <f t="shared" si="0"/>
        <v>1058000</v>
      </c>
    </row>
    <row r="66" spans="1:9" x14ac:dyDescent="0.25">
      <c r="A66" s="2">
        <v>45355</v>
      </c>
      <c r="B66" s="3" t="s">
        <v>12</v>
      </c>
      <c r="C66" s="3" t="s">
        <v>13</v>
      </c>
      <c r="D66" s="3" t="s">
        <v>14</v>
      </c>
      <c r="E66" s="3">
        <v>110</v>
      </c>
      <c r="F66" s="3">
        <v>2200</v>
      </c>
      <c r="G66" s="3">
        <v>11</v>
      </c>
      <c r="H66" s="3">
        <v>21</v>
      </c>
      <c r="I66" s="4">
        <f t="shared" si="0"/>
        <v>242000</v>
      </c>
    </row>
    <row r="67" spans="1:9" x14ac:dyDescent="0.25">
      <c r="A67" s="2">
        <v>45356</v>
      </c>
      <c r="B67" s="3" t="s">
        <v>15</v>
      </c>
      <c r="C67" s="3" t="s">
        <v>16</v>
      </c>
      <c r="D67" s="3" t="s">
        <v>17</v>
      </c>
      <c r="E67" s="3">
        <v>130</v>
      </c>
      <c r="F67" s="3">
        <v>2600</v>
      </c>
      <c r="G67" s="3">
        <v>8</v>
      </c>
      <c r="H67" s="3">
        <v>22</v>
      </c>
      <c r="I67" s="4">
        <f t="shared" si="0"/>
        <v>338000</v>
      </c>
    </row>
    <row r="68" spans="1:9" x14ac:dyDescent="0.25">
      <c r="A68" s="2">
        <v>45357</v>
      </c>
      <c r="B68" s="3" t="s">
        <v>19</v>
      </c>
      <c r="C68" s="3" t="s">
        <v>20</v>
      </c>
      <c r="D68" s="3" t="s">
        <v>24</v>
      </c>
      <c r="E68" s="3">
        <v>150</v>
      </c>
      <c r="F68" s="3">
        <v>3000</v>
      </c>
      <c r="G68" s="3">
        <v>12</v>
      </c>
      <c r="H68" s="3">
        <v>26</v>
      </c>
      <c r="I68" s="4">
        <f t="shared" si="0"/>
        <v>450000</v>
      </c>
    </row>
    <row r="69" spans="1:9" x14ac:dyDescent="0.25">
      <c r="A69" s="2">
        <v>45358</v>
      </c>
      <c r="B69" s="3" t="s">
        <v>22</v>
      </c>
      <c r="C69" s="3" t="s">
        <v>23</v>
      </c>
      <c r="D69" s="3" t="s">
        <v>14</v>
      </c>
      <c r="E69" s="3">
        <v>140</v>
      </c>
      <c r="F69" s="3">
        <v>2800</v>
      </c>
      <c r="G69" s="3">
        <v>13</v>
      </c>
      <c r="H69" s="3">
        <v>23</v>
      </c>
      <c r="I69" s="4">
        <f t="shared" ref="I69:I93" si="1">E69*F69</f>
        <v>392000</v>
      </c>
    </row>
    <row r="70" spans="1:9" x14ac:dyDescent="0.25">
      <c r="A70" s="2">
        <v>45359</v>
      </c>
      <c r="B70" s="3" t="s">
        <v>12</v>
      </c>
      <c r="C70" s="3" t="s">
        <v>13</v>
      </c>
      <c r="D70" s="3" t="s">
        <v>17</v>
      </c>
      <c r="E70" s="3">
        <v>170</v>
      </c>
      <c r="F70" s="3">
        <v>3400</v>
      </c>
      <c r="G70" s="3">
        <v>14</v>
      </c>
      <c r="H70" s="3">
        <v>24</v>
      </c>
      <c r="I70" s="4">
        <f t="shared" si="1"/>
        <v>578000</v>
      </c>
    </row>
    <row r="71" spans="1:9" x14ac:dyDescent="0.25">
      <c r="A71" s="2">
        <v>45360</v>
      </c>
      <c r="B71" s="3" t="s">
        <v>15</v>
      </c>
      <c r="C71" s="3" t="s">
        <v>16</v>
      </c>
      <c r="D71" s="3" t="s">
        <v>24</v>
      </c>
      <c r="E71" s="3">
        <v>160</v>
      </c>
      <c r="F71" s="3">
        <v>3200</v>
      </c>
      <c r="G71" s="3">
        <v>16</v>
      </c>
      <c r="H71" s="3">
        <v>27</v>
      </c>
      <c r="I71" s="4">
        <f t="shared" si="1"/>
        <v>512000</v>
      </c>
    </row>
    <row r="72" spans="1:9" x14ac:dyDescent="0.25">
      <c r="A72" s="2">
        <v>45361</v>
      </c>
      <c r="B72" s="3" t="s">
        <v>19</v>
      </c>
      <c r="C72" s="3" t="s">
        <v>20</v>
      </c>
      <c r="D72" s="3" t="s">
        <v>14</v>
      </c>
      <c r="E72" s="3">
        <v>180</v>
      </c>
      <c r="F72" s="3">
        <v>3600</v>
      </c>
      <c r="G72" s="3">
        <v>10</v>
      </c>
      <c r="H72" s="3">
        <v>22</v>
      </c>
      <c r="I72" s="4">
        <f t="shared" si="1"/>
        <v>648000</v>
      </c>
    </row>
    <row r="73" spans="1:9" x14ac:dyDescent="0.25">
      <c r="A73" s="2">
        <v>45362</v>
      </c>
      <c r="B73" s="3" t="s">
        <v>22</v>
      </c>
      <c r="C73" s="3" t="s">
        <v>23</v>
      </c>
      <c r="D73" s="3" t="s">
        <v>17</v>
      </c>
      <c r="E73" s="3">
        <v>150</v>
      </c>
      <c r="F73" s="3">
        <v>3000</v>
      </c>
      <c r="G73" s="3">
        <v>15</v>
      </c>
      <c r="H73" s="3">
        <v>29</v>
      </c>
      <c r="I73" s="4">
        <f t="shared" si="1"/>
        <v>450000</v>
      </c>
    </row>
    <row r="74" spans="1:9" x14ac:dyDescent="0.25">
      <c r="A74" s="2">
        <v>45363</v>
      </c>
      <c r="B74" s="3" t="s">
        <v>12</v>
      </c>
      <c r="C74" s="3" t="s">
        <v>13</v>
      </c>
      <c r="D74" s="3" t="s">
        <v>24</v>
      </c>
      <c r="E74" s="3">
        <v>200</v>
      </c>
      <c r="F74" s="3">
        <v>4000</v>
      </c>
      <c r="G74" s="3">
        <v>12</v>
      </c>
      <c r="H74" s="3">
        <v>25</v>
      </c>
      <c r="I74" s="4">
        <f t="shared" si="1"/>
        <v>800000</v>
      </c>
    </row>
    <row r="75" spans="1:9" x14ac:dyDescent="0.25">
      <c r="A75" s="2">
        <v>45364</v>
      </c>
      <c r="B75" s="3" t="s">
        <v>15</v>
      </c>
      <c r="C75" s="3" t="s">
        <v>16</v>
      </c>
      <c r="D75" s="3" t="s">
        <v>14</v>
      </c>
      <c r="E75" s="3">
        <v>140</v>
      </c>
      <c r="F75" s="3">
        <v>2800</v>
      </c>
      <c r="G75" s="3">
        <v>11</v>
      </c>
      <c r="H75" s="3">
        <v>20</v>
      </c>
      <c r="I75" s="4">
        <f t="shared" si="1"/>
        <v>392000</v>
      </c>
    </row>
    <row r="76" spans="1:9" x14ac:dyDescent="0.25">
      <c r="A76" s="2">
        <v>45365</v>
      </c>
      <c r="B76" s="3" t="s">
        <v>19</v>
      </c>
      <c r="C76" s="3" t="s">
        <v>20</v>
      </c>
      <c r="D76" s="3" t="s">
        <v>17</v>
      </c>
      <c r="E76" s="3">
        <v>160</v>
      </c>
      <c r="F76" s="3">
        <v>3200</v>
      </c>
      <c r="G76" s="3">
        <v>9</v>
      </c>
      <c r="H76" s="3">
        <v>22</v>
      </c>
      <c r="I76" s="4">
        <f t="shared" si="1"/>
        <v>512000</v>
      </c>
    </row>
    <row r="77" spans="1:9" x14ac:dyDescent="0.25">
      <c r="A77" s="2">
        <v>45366</v>
      </c>
      <c r="B77" s="3" t="s">
        <v>22</v>
      </c>
      <c r="C77" s="3" t="s">
        <v>23</v>
      </c>
      <c r="D77" s="3" t="s">
        <v>24</v>
      </c>
      <c r="E77" s="3">
        <v>190</v>
      </c>
      <c r="F77" s="3">
        <v>3800</v>
      </c>
      <c r="G77" s="3">
        <v>13</v>
      </c>
      <c r="H77" s="3">
        <v>26</v>
      </c>
      <c r="I77" s="4">
        <f t="shared" si="1"/>
        <v>722000</v>
      </c>
    </row>
    <row r="78" spans="1:9" x14ac:dyDescent="0.25">
      <c r="A78" s="2">
        <v>45367</v>
      </c>
      <c r="B78" s="3" t="s">
        <v>12</v>
      </c>
      <c r="C78" s="3" t="s">
        <v>13</v>
      </c>
      <c r="D78" s="3" t="s">
        <v>17</v>
      </c>
      <c r="E78" s="3">
        <v>200</v>
      </c>
      <c r="F78" s="3">
        <v>4000</v>
      </c>
      <c r="G78" s="3">
        <v>16</v>
      </c>
      <c r="H78" s="3">
        <v>28</v>
      </c>
      <c r="I78" s="4">
        <f t="shared" si="1"/>
        <v>800000</v>
      </c>
    </row>
    <row r="79" spans="1:9" x14ac:dyDescent="0.25">
      <c r="A79" s="2">
        <v>45368</v>
      </c>
      <c r="B79" s="3" t="s">
        <v>15</v>
      </c>
      <c r="C79" s="3" t="s">
        <v>16</v>
      </c>
      <c r="D79" s="3" t="s">
        <v>24</v>
      </c>
      <c r="E79" s="3">
        <v>180</v>
      </c>
      <c r="F79" s="3">
        <v>3600</v>
      </c>
      <c r="G79" s="3">
        <v>15</v>
      </c>
      <c r="H79" s="3">
        <v>30</v>
      </c>
      <c r="I79" s="4">
        <f t="shared" si="1"/>
        <v>648000</v>
      </c>
    </row>
    <row r="80" spans="1:9" x14ac:dyDescent="0.25">
      <c r="A80" s="2">
        <v>45369</v>
      </c>
      <c r="B80" s="3" t="s">
        <v>19</v>
      </c>
      <c r="C80" s="3" t="s">
        <v>20</v>
      </c>
      <c r="D80" s="3" t="s">
        <v>14</v>
      </c>
      <c r="E80" s="3">
        <v>140</v>
      </c>
      <c r="F80" s="3">
        <v>2800</v>
      </c>
      <c r="G80" s="3">
        <v>6</v>
      </c>
      <c r="H80" s="3">
        <v>21</v>
      </c>
      <c r="I80" s="4">
        <f t="shared" si="1"/>
        <v>392000</v>
      </c>
    </row>
    <row r="81" spans="1:9" x14ac:dyDescent="0.25">
      <c r="A81" s="2">
        <v>45370</v>
      </c>
      <c r="B81" s="3" t="s">
        <v>22</v>
      </c>
      <c r="C81" s="3" t="s">
        <v>23</v>
      </c>
      <c r="D81" s="3" t="s">
        <v>17</v>
      </c>
      <c r="E81" s="3">
        <v>220</v>
      </c>
      <c r="F81" s="3">
        <v>4400</v>
      </c>
      <c r="G81" s="3">
        <v>18</v>
      </c>
      <c r="H81" s="3">
        <v>27</v>
      </c>
      <c r="I81" s="4">
        <f t="shared" si="1"/>
        <v>968000</v>
      </c>
    </row>
    <row r="82" spans="1:9" x14ac:dyDescent="0.25">
      <c r="A82" s="2">
        <v>45371</v>
      </c>
      <c r="B82" s="3" t="s">
        <v>12</v>
      </c>
      <c r="C82" s="3" t="s">
        <v>13</v>
      </c>
      <c r="D82" s="3" t="s">
        <v>24</v>
      </c>
      <c r="E82" s="3">
        <v>150</v>
      </c>
      <c r="F82" s="3">
        <v>3000</v>
      </c>
      <c r="G82" s="3">
        <v>14</v>
      </c>
      <c r="H82" s="3">
        <v>22</v>
      </c>
      <c r="I82" s="4">
        <f t="shared" si="1"/>
        <v>450000</v>
      </c>
    </row>
    <row r="83" spans="1:9" x14ac:dyDescent="0.25">
      <c r="A83" s="2">
        <v>45372</v>
      </c>
      <c r="B83" s="3" t="s">
        <v>15</v>
      </c>
      <c r="C83" s="3" t="s">
        <v>16</v>
      </c>
      <c r="D83" s="3" t="s">
        <v>14</v>
      </c>
      <c r="E83" s="3">
        <v>160</v>
      </c>
      <c r="F83" s="3">
        <v>3200</v>
      </c>
      <c r="G83" s="3">
        <v>13</v>
      </c>
      <c r="H83" s="3">
        <v>24</v>
      </c>
      <c r="I83" s="4">
        <f t="shared" si="1"/>
        <v>512000</v>
      </c>
    </row>
    <row r="84" spans="1:9" x14ac:dyDescent="0.25">
      <c r="A84" s="2">
        <v>45373</v>
      </c>
      <c r="B84" s="3" t="s">
        <v>19</v>
      </c>
      <c r="C84" s="3" t="s">
        <v>20</v>
      </c>
      <c r="D84" s="3" t="s">
        <v>17</v>
      </c>
      <c r="E84" s="3">
        <v>190</v>
      </c>
      <c r="F84" s="3">
        <v>3800</v>
      </c>
      <c r="G84" s="3">
        <v>12</v>
      </c>
      <c r="H84" s="3">
        <v>23</v>
      </c>
      <c r="I84" s="4">
        <f t="shared" si="1"/>
        <v>722000</v>
      </c>
    </row>
    <row r="85" spans="1:9" x14ac:dyDescent="0.25">
      <c r="A85" s="2">
        <v>45374</v>
      </c>
      <c r="B85" s="3" t="s">
        <v>22</v>
      </c>
      <c r="C85" s="3" t="s">
        <v>23</v>
      </c>
      <c r="D85" s="3" t="s">
        <v>24</v>
      </c>
      <c r="E85" s="3">
        <v>210</v>
      </c>
      <c r="F85" s="3">
        <v>4200</v>
      </c>
      <c r="G85" s="3">
        <v>16</v>
      </c>
      <c r="H85" s="3">
        <v>28</v>
      </c>
      <c r="I85" s="4">
        <f t="shared" si="1"/>
        <v>882000</v>
      </c>
    </row>
    <row r="86" spans="1:9" x14ac:dyDescent="0.25">
      <c r="A86" s="2">
        <v>45375</v>
      </c>
      <c r="B86" s="3" t="s">
        <v>12</v>
      </c>
      <c r="C86" s="3" t="s">
        <v>13</v>
      </c>
      <c r="D86" s="3" t="s">
        <v>14</v>
      </c>
      <c r="E86" s="3">
        <v>170</v>
      </c>
      <c r="F86" s="3">
        <v>3400</v>
      </c>
      <c r="G86" s="3">
        <v>15</v>
      </c>
      <c r="H86" s="3">
        <v>25</v>
      </c>
      <c r="I86" s="4">
        <f t="shared" si="1"/>
        <v>578000</v>
      </c>
    </row>
    <row r="87" spans="1:9" x14ac:dyDescent="0.25">
      <c r="A87" s="2">
        <v>45376</v>
      </c>
      <c r="B87" s="3" t="s">
        <v>15</v>
      </c>
      <c r="C87" s="3" t="s">
        <v>16</v>
      </c>
      <c r="D87" s="3" t="s">
        <v>17</v>
      </c>
      <c r="E87" s="3">
        <v>140</v>
      </c>
      <c r="F87" s="3">
        <v>2800</v>
      </c>
      <c r="G87" s="3">
        <v>10</v>
      </c>
      <c r="H87" s="3">
        <v>22</v>
      </c>
      <c r="I87" s="4">
        <f t="shared" si="1"/>
        <v>392000</v>
      </c>
    </row>
    <row r="88" spans="1:9" x14ac:dyDescent="0.25">
      <c r="A88" s="2">
        <v>45377</v>
      </c>
      <c r="B88" s="3" t="s">
        <v>19</v>
      </c>
      <c r="C88" s="3" t="s">
        <v>20</v>
      </c>
      <c r="D88" s="3" t="s">
        <v>24</v>
      </c>
      <c r="E88" s="3">
        <v>220</v>
      </c>
      <c r="F88" s="3">
        <v>4400</v>
      </c>
      <c r="G88" s="3">
        <v>14</v>
      </c>
      <c r="H88" s="3">
        <v>30</v>
      </c>
      <c r="I88" s="4">
        <f t="shared" si="1"/>
        <v>968000</v>
      </c>
    </row>
    <row r="89" spans="1:9" x14ac:dyDescent="0.25">
      <c r="A89" s="2">
        <v>45378</v>
      </c>
      <c r="B89" s="3" t="s">
        <v>22</v>
      </c>
      <c r="C89" s="3" t="s">
        <v>23</v>
      </c>
      <c r="D89" s="3" t="s">
        <v>14</v>
      </c>
      <c r="E89" s="3">
        <v>130</v>
      </c>
      <c r="F89" s="3">
        <v>2600</v>
      </c>
      <c r="G89" s="3">
        <v>12</v>
      </c>
      <c r="H89" s="3">
        <v>23</v>
      </c>
      <c r="I89" s="4">
        <f t="shared" si="1"/>
        <v>338000</v>
      </c>
    </row>
    <row r="90" spans="1:9" x14ac:dyDescent="0.25">
      <c r="A90" s="2">
        <v>45379</v>
      </c>
      <c r="B90" s="3" t="s">
        <v>12</v>
      </c>
      <c r="C90" s="3" t="s">
        <v>13</v>
      </c>
      <c r="D90" s="3" t="s">
        <v>17</v>
      </c>
      <c r="E90" s="3">
        <v>150</v>
      </c>
      <c r="F90" s="3">
        <v>3000</v>
      </c>
      <c r="G90" s="3">
        <v>13</v>
      </c>
      <c r="H90" s="3">
        <v>24</v>
      </c>
      <c r="I90" s="4">
        <f t="shared" si="1"/>
        <v>450000</v>
      </c>
    </row>
    <row r="91" spans="1:9" x14ac:dyDescent="0.25">
      <c r="A91" s="2">
        <v>45380</v>
      </c>
      <c r="B91" s="3" t="s">
        <v>15</v>
      </c>
      <c r="C91" s="3" t="s">
        <v>16</v>
      </c>
      <c r="D91" s="3" t="s">
        <v>24</v>
      </c>
      <c r="E91" s="3">
        <v>200</v>
      </c>
      <c r="F91" s="3">
        <v>4000</v>
      </c>
      <c r="G91" s="3">
        <v>11</v>
      </c>
      <c r="H91" s="3">
        <v>21</v>
      </c>
      <c r="I91" s="4">
        <f t="shared" si="1"/>
        <v>800000</v>
      </c>
    </row>
    <row r="92" spans="1:9" x14ac:dyDescent="0.25">
      <c r="A92" s="2">
        <v>45381</v>
      </c>
      <c r="B92" s="3" t="s">
        <v>19</v>
      </c>
      <c r="C92" s="3" t="s">
        <v>20</v>
      </c>
      <c r="D92" s="3" t="s">
        <v>14</v>
      </c>
      <c r="E92" s="3">
        <v>160</v>
      </c>
      <c r="F92" s="3">
        <v>3200</v>
      </c>
      <c r="G92" s="3">
        <v>8</v>
      </c>
      <c r="H92" s="3">
        <v>22</v>
      </c>
      <c r="I92" s="4">
        <f t="shared" si="1"/>
        <v>512000</v>
      </c>
    </row>
    <row r="93" spans="1:9" x14ac:dyDescent="0.25">
      <c r="A93" s="2">
        <v>45382</v>
      </c>
      <c r="B93" s="3" t="s">
        <v>22</v>
      </c>
      <c r="C93" s="3" t="s">
        <v>23</v>
      </c>
      <c r="D93" s="3" t="s">
        <v>17</v>
      </c>
      <c r="E93" s="3">
        <v>180</v>
      </c>
      <c r="F93" s="3">
        <v>3600</v>
      </c>
      <c r="G93" s="3">
        <v>17</v>
      </c>
      <c r="H93" s="3">
        <v>28</v>
      </c>
      <c r="I93" s="4">
        <f t="shared" si="1"/>
        <v>648000</v>
      </c>
    </row>
    <row r="97" spans="1:9" x14ac:dyDescent="0.25">
      <c r="A97" s="24" t="s">
        <v>11</v>
      </c>
      <c r="B97" s="24"/>
      <c r="C97" s="24"/>
      <c r="D97" s="24"/>
      <c r="E97" s="24"/>
      <c r="F97" s="24"/>
      <c r="G97" s="24"/>
      <c r="H97" s="24"/>
      <c r="I97" s="24"/>
    </row>
    <row r="98" spans="1:9" x14ac:dyDescent="0.25">
      <c r="A98" s="24"/>
      <c r="B98" s="24"/>
      <c r="C98" s="24"/>
      <c r="D98" s="24"/>
      <c r="E98" s="24"/>
      <c r="F98" s="24"/>
      <c r="G98" s="24"/>
      <c r="H98" s="24"/>
      <c r="I98" s="24"/>
    </row>
    <row r="99" spans="1:9" x14ac:dyDescent="0.25">
      <c r="A99" s="21" t="s">
        <v>18</v>
      </c>
      <c r="B99" s="21"/>
      <c r="C99" s="21"/>
      <c r="D99" s="21"/>
      <c r="E99" s="21"/>
      <c r="F99" s="21"/>
      <c r="G99" s="21"/>
      <c r="H99" s="21"/>
      <c r="I99" s="21"/>
    </row>
    <row r="100" spans="1:9" x14ac:dyDescent="0.25">
      <c r="A100" s="21" t="s">
        <v>21</v>
      </c>
      <c r="B100" s="21"/>
      <c r="C100" s="21"/>
      <c r="D100" s="21"/>
      <c r="E100" s="21"/>
      <c r="F100" s="21"/>
      <c r="G100" s="21"/>
      <c r="H100" s="21"/>
      <c r="I100" s="21"/>
    </row>
    <row r="101" spans="1:9" x14ac:dyDescent="0.25">
      <c r="A101" s="21" t="s">
        <v>25</v>
      </c>
      <c r="B101" s="21"/>
      <c r="C101" s="21"/>
      <c r="D101" s="21"/>
      <c r="E101" s="21"/>
      <c r="F101" s="21"/>
      <c r="G101" s="21"/>
      <c r="H101" s="21"/>
      <c r="I101" s="21"/>
    </row>
    <row r="102" spans="1:9" x14ac:dyDescent="0.25">
      <c r="A102" s="6"/>
    </row>
    <row r="103" spans="1:9" x14ac:dyDescent="0.25">
      <c r="A103" s="21" t="s">
        <v>26</v>
      </c>
      <c r="B103" s="21"/>
      <c r="C103" s="21"/>
      <c r="D103" s="21"/>
      <c r="E103" s="21"/>
      <c r="F103" s="21"/>
      <c r="G103" s="21"/>
      <c r="H103" s="21"/>
      <c r="I103" s="21"/>
    </row>
    <row r="104" spans="1:9" x14ac:dyDescent="0.25">
      <c r="A104" s="21" t="s">
        <v>27</v>
      </c>
      <c r="B104" s="21"/>
      <c r="C104" s="21"/>
      <c r="D104" s="21"/>
      <c r="E104" s="21"/>
      <c r="F104" s="21"/>
      <c r="G104" s="21"/>
      <c r="H104" s="21"/>
      <c r="I104" s="21"/>
    </row>
    <row r="105" spans="1:9" x14ac:dyDescent="0.25">
      <c r="A105" s="21" t="s">
        <v>28</v>
      </c>
      <c r="B105" s="21"/>
      <c r="C105" s="21"/>
      <c r="D105" s="21"/>
      <c r="E105" s="21"/>
      <c r="F105" s="21"/>
      <c r="G105" s="21"/>
      <c r="H105" s="21"/>
      <c r="I105" s="21"/>
    </row>
    <row r="106" spans="1:9" x14ac:dyDescent="0.25">
      <c r="A106" s="6"/>
    </row>
    <row r="107" spans="1:9" x14ac:dyDescent="0.25">
      <c r="A107" s="21" t="s">
        <v>29</v>
      </c>
      <c r="B107" s="21"/>
      <c r="C107" s="21"/>
      <c r="D107" s="21"/>
      <c r="E107" s="21"/>
      <c r="F107" s="21"/>
      <c r="G107" s="21"/>
      <c r="H107" s="21"/>
      <c r="I107" s="21"/>
    </row>
    <row r="108" spans="1:9" x14ac:dyDescent="0.25">
      <c r="A108" s="21" t="s">
        <v>30</v>
      </c>
      <c r="B108" s="21"/>
      <c r="C108" s="21"/>
      <c r="D108" s="21"/>
      <c r="E108" s="21"/>
      <c r="F108" s="21"/>
      <c r="G108" s="21"/>
      <c r="H108" s="21"/>
      <c r="I108" s="21"/>
    </row>
    <row r="109" spans="1:9" x14ac:dyDescent="0.25">
      <c r="A109" s="21" t="s">
        <v>31</v>
      </c>
      <c r="B109" s="21"/>
      <c r="C109" s="21"/>
      <c r="D109" s="21"/>
      <c r="E109" s="21"/>
      <c r="F109" s="21"/>
      <c r="G109" s="21"/>
      <c r="H109" s="21"/>
      <c r="I109" s="21"/>
    </row>
    <row r="110" spans="1:9" x14ac:dyDescent="0.25">
      <c r="A110" s="6"/>
    </row>
    <row r="111" spans="1:9" x14ac:dyDescent="0.25">
      <c r="A111" s="21" t="s">
        <v>32</v>
      </c>
      <c r="B111" s="21"/>
      <c r="C111" s="21"/>
      <c r="D111" s="21"/>
      <c r="E111" s="21"/>
      <c r="F111" s="21"/>
      <c r="G111" s="21"/>
      <c r="H111" s="21"/>
      <c r="I111" s="21"/>
    </row>
    <row r="112" spans="1:9" x14ac:dyDescent="0.25">
      <c r="A112" s="21" t="s">
        <v>33</v>
      </c>
      <c r="B112" s="21"/>
      <c r="C112" s="21"/>
      <c r="D112" s="21"/>
      <c r="E112" s="21"/>
      <c r="F112" s="21"/>
      <c r="G112" s="21"/>
      <c r="H112" s="21"/>
      <c r="I112" s="21"/>
    </row>
    <row r="113" spans="1:9" x14ac:dyDescent="0.25">
      <c r="A113" s="21" t="s">
        <v>34</v>
      </c>
      <c r="B113" s="21"/>
      <c r="C113" s="21"/>
      <c r="D113" s="21"/>
      <c r="E113" s="21"/>
      <c r="F113" s="21"/>
      <c r="G113" s="21"/>
      <c r="H113" s="21"/>
      <c r="I113" s="21"/>
    </row>
    <row r="114" spans="1:9" x14ac:dyDescent="0.25">
      <c r="A114" s="6"/>
    </row>
    <row r="115" spans="1:9" x14ac:dyDescent="0.25">
      <c r="A115" s="21" t="s">
        <v>35</v>
      </c>
      <c r="B115" s="21"/>
      <c r="C115" s="21"/>
      <c r="D115" s="21"/>
      <c r="E115" s="21"/>
      <c r="F115" s="21"/>
      <c r="G115" s="21"/>
      <c r="H115" s="21"/>
      <c r="I115" s="21"/>
    </row>
    <row r="116" spans="1:9" x14ac:dyDescent="0.25">
      <c r="A116" s="21" t="s">
        <v>36</v>
      </c>
      <c r="B116" s="21"/>
      <c r="C116" s="21"/>
      <c r="D116" s="21"/>
      <c r="E116" s="21"/>
      <c r="F116" s="21"/>
      <c r="G116" s="21"/>
      <c r="H116" s="21"/>
      <c r="I116" s="21"/>
    </row>
    <row r="117" spans="1:9" x14ac:dyDescent="0.25">
      <c r="A117" s="21" t="s">
        <v>37</v>
      </c>
      <c r="B117" s="21"/>
      <c r="C117" s="21"/>
      <c r="D117" s="21"/>
      <c r="E117" s="21"/>
      <c r="F117" s="21"/>
      <c r="G117" s="21"/>
      <c r="H117" s="21"/>
      <c r="I117" s="21"/>
    </row>
    <row r="118" spans="1:9" x14ac:dyDescent="0.25">
      <c r="A118" s="6"/>
    </row>
    <row r="119" spans="1:9" x14ac:dyDescent="0.25">
      <c r="A119" s="5" t="s">
        <v>38</v>
      </c>
    </row>
    <row r="120" spans="1:9" x14ac:dyDescent="0.25">
      <c r="A120" s="21" t="s">
        <v>64</v>
      </c>
      <c r="B120" s="21"/>
      <c r="C120" s="21"/>
      <c r="D120" s="21"/>
      <c r="E120" s="21"/>
      <c r="F120" s="21"/>
      <c r="G120" s="21"/>
    </row>
    <row r="121" spans="1:9" x14ac:dyDescent="0.25">
      <c r="A121" s="21" t="s">
        <v>39</v>
      </c>
      <c r="B121" s="21"/>
      <c r="C121" s="21"/>
      <c r="D121" s="21"/>
      <c r="E121" s="21"/>
      <c r="F121" s="21"/>
      <c r="G121" s="21"/>
    </row>
    <row r="122" spans="1:9" x14ac:dyDescent="0.25">
      <c r="A122" s="6"/>
    </row>
    <row r="123" spans="1:9" x14ac:dyDescent="0.25">
      <c r="A123" s="21" t="s">
        <v>40</v>
      </c>
      <c r="B123" s="21"/>
      <c r="C123" s="21"/>
      <c r="D123" s="21"/>
      <c r="E123" s="21"/>
      <c r="F123" s="21"/>
      <c r="G123" s="21"/>
      <c r="H123" s="21"/>
      <c r="I123" s="21"/>
    </row>
    <row r="124" spans="1:9" x14ac:dyDescent="0.25">
      <c r="A124" s="21" t="s">
        <v>41</v>
      </c>
      <c r="B124" s="21"/>
      <c r="C124" s="21"/>
      <c r="D124" s="21"/>
      <c r="E124" s="21"/>
      <c r="F124" s="21"/>
      <c r="G124" s="21"/>
      <c r="H124" s="21"/>
      <c r="I124" s="21"/>
    </row>
    <row r="125" spans="1:9" x14ac:dyDescent="0.25">
      <c r="A125" s="21" t="s">
        <v>42</v>
      </c>
      <c r="B125" s="21"/>
      <c r="C125" s="21"/>
      <c r="D125" s="21"/>
      <c r="E125" s="21"/>
      <c r="F125" s="21"/>
      <c r="G125" s="21"/>
      <c r="H125" s="21"/>
      <c r="I125" s="21"/>
    </row>
    <row r="126" spans="1:9" x14ac:dyDescent="0.25">
      <c r="A126" s="6"/>
    </row>
    <row r="127" spans="1:9" x14ac:dyDescent="0.25">
      <c r="A127" s="21" t="s">
        <v>43</v>
      </c>
      <c r="B127" s="21"/>
      <c r="C127" s="21"/>
      <c r="D127" s="21"/>
      <c r="E127" s="21"/>
      <c r="F127" s="21"/>
      <c r="G127" s="21"/>
      <c r="H127" s="21"/>
      <c r="I127" s="21"/>
    </row>
    <row r="128" spans="1:9" x14ac:dyDescent="0.25">
      <c r="A128" s="21" t="s">
        <v>44</v>
      </c>
      <c r="B128" s="21"/>
      <c r="C128" s="21"/>
      <c r="D128" s="21"/>
      <c r="E128" s="21"/>
      <c r="F128" s="21"/>
      <c r="G128" s="21"/>
      <c r="H128" s="21"/>
      <c r="I128" s="21"/>
    </row>
    <row r="129" spans="1:9" x14ac:dyDescent="0.25">
      <c r="A129" s="21" t="s">
        <v>45</v>
      </c>
      <c r="B129" s="21"/>
      <c r="C129" s="21"/>
      <c r="D129" s="21"/>
      <c r="E129" s="21"/>
      <c r="F129" s="21"/>
      <c r="G129" s="21"/>
      <c r="H129" s="21"/>
      <c r="I129" s="21"/>
    </row>
    <row r="131" spans="1:9" x14ac:dyDescent="0.25">
      <c r="A131" s="25" t="s">
        <v>46</v>
      </c>
      <c r="B131" s="25"/>
      <c r="C131" s="25"/>
      <c r="D131" s="25"/>
      <c r="E131" s="25"/>
      <c r="F131" s="25"/>
      <c r="G131" s="25"/>
      <c r="H131" s="25"/>
      <c r="I131" s="25"/>
    </row>
    <row r="132" spans="1:9" x14ac:dyDescent="0.25">
      <c r="A132" s="25"/>
      <c r="B132" s="25"/>
      <c r="C132" s="25"/>
      <c r="D132" s="25"/>
      <c r="E132" s="25"/>
      <c r="F132" s="25"/>
      <c r="G132" s="25"/>
      <c r="H132" s="25"/>
      <c r="I132" s="25"/>
    </row>
    <row r="133" spans="1:9" x14ac:dyDescent="0.25">
      <c r="A133" s="21" t="s">
        <v>47</v>
      </c>
      <c r="B133" s="21"/>
      <c r="C133" s="21"/>
      <c r="D133" s="21"/>
      <c r="E133" s="21"/>
      <c r="F133" s="21"/>
      <c r="G133" s="21"/>
      <c r="H133" s="21"/>
      <c r="I133" s="21"/>
    </row>
    <row r="134" spans="1:9" x14ac:dyDescent="0.25">
      <c r="A134" s="21" t="s">
        <v>48</v>
      </c>
      <c r="B134" s="21"/>
      <c r="C134" s="21"/>
      <c r="D134" s="21"/>
      <c r="E134" s="21"/>
      <c r="F134" s="21"/>
      <c r="G134" s="21"/>
      <c r="H134" s="21"/>
      <c r="I134" s="21"/>
    </row>
    <row r="135" spans="1:9" x14ac:dyDescent="0.25">
      <c r="A135" s="21" t="s">
        <v>49</v>
      </c>
      <c r="B135" s="21"/>
      <c r="C135" s="21"/>
      <c r="D135" s="21"/>
      <c r="E135" s="21"/>
      <c r="F135" s="21"/>
      <c r="G135" s="21"/>
      <c r="H135" s="21"/>
      <c r="I135" s="21"/>
    </row>
    <row r="136" spans="1:9" x14ac:dyDescent="0.25">
      <c r="A136" s="6"/>
    </row>
    <row r="137" spans="1:9" x14ac:dyDescent="0.25">
      <c r="A137" s="21" t="s">
        <v>50</v>
      </c>
      <c r="B137" s="21"/>
      <c r="C137" s="21"/>
      <c r="D137" s="21"/>
      <c r="E137" s="21"/>
      <c r="F137" s="21"/>
      <c r="G137" s="21"/>
      <c r="H137" s="21"/>
      <c r="I137" s="21"/>
    </row>
    <row r="138" spans="1:9" x14ac:dyDescent="0.25">
      <c r="A138" s="21" t="s">
        <v>51</v>
      </c>
      <c r="B138" s="21"/>
      <c r="C138" s="21"/>
      <c r="D138" s="21"/>
      <c r="E138" s="21"/>
      <c r="F138" s="21"/>
      <c r="G138" s="21"/>
      <c r="H138" s="21"/>
      <c r="I138" s="21"/>
    </row>
    <row r="139" spans="1:9" x14ac:dyDescent="0.25">
      <c r="A139" s="21" t="s">
        <v>52</v>
      </c>
      <c r="B139" s="21"/>
      <c r="C139" s="21"/>
      <c r="D139" s="21"/>
      <c r="E139" s="21"/>
      <c r="F139" s="21"/>
      <c r="G139" s="21"/>
      <c r="H139" s="21"/>
      <c r="I139" s="21"/>
    </row>
    <row r="140" spans="1:9" x14ac:dyDescent="0.25">
      <c r="A140" s="6"/>
    </row>
    <row r="141" spans="1:9" x14ac:dyDescent="0.25">
      <c r="A141" s="21" t="s">
        <v>53</v>
      </c>
      <c r="B141" s="21"/>
      <c r="C141" s="21"/>
      <c r="D141" s="21"/>
      <c r="E141" s="21"/>
      <c r="F141" s="21"/>
      <c r="G141" s="21"/>
      <c r="H141" s="21"/>
      <c r="I141" s="21"/>
    </row>
    <row r="142" spans="1:9" x14ac:dyDescent="0.25">
      <c r="A142" s="21" t="s">
        <v>54</v>
      </c>
      <c r="B142" s="21"/>
      <c r="C142" s="21"/>
      <c r="D142" s="21"/>
      <c r="E142" s="21"/>
      <c r="F142" s="21"/>
      <c r="G142" s="21"/>
      <c r="H142" s="21"/>
      <c r="I142" s="21"/>
    </row>
    <row r="143" spans="1:9" x14ac:dyDescent="0.25">
      <c r="A143" s="21" t="s">
        <v>55</v>
      </c>
      <c r="B143" s="21"/>
      <c r="C143" s="21"/>
      <c r="D143" s="21"/>
      <c r="E143" s="21"/>
      <c r="F143" s="21"/>
      <c r="G143" s="21"/>
      <c r="H143" s="21"/>
      <c r="I143" s="21"/>
    </row>
    <row r="144" spans="1:9" x14ac:dyDescent="0.25">
      <c r="A144" s="6"/>
    </row>
    <row r="145" spans="1:9" x14ac:dyDescent="0.25">
      <c r="A145" s="21" t="s">
        <v>56</v>
      </c>
      <c r="B145" s="21"/>
      <c r="C145" s="21"/>
      <c r="D145" s="21"/>
      <c r="E145" s="21"/>
      <c r="F145" s="21"/>
      <c r="G145" s="21"/>
      <c r="H145" s="21"/>
      <c r="I145" s="21"/>
    </row>
    <row r="146" spans="1:9" x14ac:dyDescent="0.25">
      <c r="A146" s="21" t="s">
        <v>57</v>
      </c>
      <c r="B146" s="21"/>
      <c r="C146" s="21"/>
      <c r="D146" s="21"/>
      <c r="E146" s="21"/>
      <c r="F146" s="21"/>
      <c r="G146" s="21"/>
      <c r="H146" s="21"/>
      <c r="I146" s="21"/>
    </row>
    <row r="147" spans="1:9" x14ac:dyDescent="0.25">
      <c r="A147" s="21" t="s">
        <v>58</v>
      </c>
      <c r="B147" s="21"/>
      <c r="C147" s="21"/>
      <c r="D147" s="21"/>
      <c r="E147" s="21"/>
      <c r="F147" s="21"/>
      <c r="G147" s="21"/>
      <c r="H147" s="21"/>
      <c r="I147" s="21"/>
    </row>
    <row r="149" spans="1:9" x14ac:dyDescent="0.25">
      <c r="A149" s="21" t="s">
        <v>59</v>
      </c>
      <c r="B149" s="21"/>
      <c r="C149" s="21"/>
      <c r="D149" s="21"/>
      <c r="E149" s="21"/>
      <c r="F149" s="21"/>
      <c r="G149" s="21"/>
      <c r="H149" s="21"/>
      <c r="I149" s="21"/>
    </row>
    <row r="150" spans="1:9" x14ac:dyDescent="0.25">
      <c r="A150" s="6"/>
    </row>
    <row r="151" spans="1:9" x14ac:dyDescent="0.25">
      <c r="A151" s="26" t="s">
        <v>60</v>
      </c>
      <c r="B151" s="26"/>
      <c r="C151" s="26"/>
      <c r="D151" s="26"/>
      <c r="E151" s="26"/>
      <c r="F151" s="26"/>
      <c r="G151" s="26"/>
      <c r="H151" s="26"/>
      <c r="I151" s="26"/>
    </row>
    <row r="152" spans="1:9" x14ac:dyDescent="0.25">
      <c r="A152" s="6"/>
    </row>
    <row r="153" spans="1:9" x14ac:dyDescent="0.25">
      <c r="A153" s="26" t="s">
        <v>61</v>
      </c>
      <c r="B153" s="26"/>
      <c r="C153" s="26"/>
      <c r="D153" s="26"/>
      <c r="E153" s="26"/>
      <c r="F153" s="26"/>
      <c r="G153" s="26"/>
      <c r="H153" s="26"/>
      <c r="I153" s="26"/>
    </row>
    <row r="154" spans="1:9" x14ac:dyDescent="0.25">
      <c r="A154" s="6"/>
    </row>
    <row r="155" spans="1:9" x14ac:dyDescent="0.25">
      <c r="A155" s="26" t="s">
        <v>62</v>
      </c>
      <c r="B155" s="26"/>
      <c r="C155" s="26"/>
      <c r="D155" s="26"/>
      <c r="E155" s="26"/>
      <c r="F155" s="26"/>
      <c r="G155" s="26"/>
      <c r="H155" s="26"/>
      <c r="I155" s="26"/>
    </row>
    <row r="156" spans="1:9" x14ac:dyDescent="0.25">
      <c r="A156" s="6"/>
    </row>
    <row r="157" spans="1:9" x14ac:dyDescent="0.25">
      <c r="A157" s="26" t="s">
        <v>63</v>
      </c>
      <c r="B157" s="26"/>
      <c r="C157" s="26"/>
      <c r="D157" s="26"/>
      <c r="E157" s="26"/>
      <c r="F157" s="26"/>
      <c r="G157" s="26"/>
      <c r="H157" s="26"/>
      <c r="I157" s="26"/>
    </row>
  </sheetData>
  <mergeCells count="44">
    <mergeCell ref="A155:I155"/>
    <mergeCell ref="A157:I157"/>
    <mergeCell ref="A145:I145"/>
    <mergeCell ref="A146:I146"/>
    <mergeCell ref="A147:I147"/>
    <mergeCell ref="A149:I149"/>
    <mergeCell ref="A151:I151"/>
    <mergeCell ref="A153:I153"/>
    <mergeCell ref="A143:I143"/>
    <mergeCell ref="A128:I128"/>
    <mergeCell ref="A129:I129"/>
    <mergeCell ref="A131:I132"/>
    <mergeCell ref="A133:I133"/>
    <mergeCell ref="A134:I134"/>
    <mergeCell ref="A135:I135"/>
    <mergeCell ref="A137:I137"/>
    <mergeCell ref="A138:I138"/>
    <mergeCell ref="A139:I139"/>
    <mergeCell ref="A141:I141"/>
    <mergeCell ref="A142:I142"/>
    <mergeCell ref="A127:I127"/>
    <mergeCell ref="A111:I111"/>
    <mergeCell ref="A112:I112"/>
    <mergeCell ref="A113:I113"/>
    <mergeCell ref="A115:I115"/>
    <mergeCell ref="A116:I116"/>
    <mergeCell ref="A117:I117"/>
    <mergeCell ref="A120:G120"/>
    <mergeCell ref="A121:G121"/>
    <mergeCell ref="A123:I123"/>
    <mergeCell ref="A124:I124"/>
    <mergeCell ref="A125:I125"/>
    <mergeCell ref="A109:I109"/>
    <mergeCell ref="A1:G1"/>
    <mergeCell ref="H1:J1"/>
    <mergeCell ref="A97:I98"/>
    <mergeCell ref="A99:I99"/>
    <mergeCell ref="A100:I100"/>
    <mergeCell ref="A101:I101"/>
    <mergeCell ref="A103:I103"/>
    <mergeCell ref="A104:I104"/>
    <mergeCell ref="A105:I105"/>
    <mergeCell ref="A107:I107"/>
    <mergeCell ref="A108:I108"/>
  </mergeCells>
  <pageMargins left="0.25" right="0.25" top="0.75" bottom="0.75" header="0.3" footer="0.3"/>
  <pageSetup paperSize="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731AF-8F03-4CBB-815A-CE5DA3099580}">
  <dimension ref="A1:AD68"/>
  <sheetViews>
    <sheetView tabSelected="1" topLeftCell="A32" zoomScale="70" zoomScaleNormal="70" workbookViewId="0">
      <selection activeCell="V11" sqref="V11"/>
    </sheetView>
  </sheetViews>
  <sheetFormatPr defaultColWidth="0" defaultRowHeight="15" zeroHeight="1" x14ac:dyDescent="0.25"/>
  <cols>
    <col min="1" max="30" width="9.140625" customWidth="1"/>
    <col min="31" max="16384" width="9.140625" hidden="1"/>
  </cols>
  <sheetData>
    <row r="1" spans="1:30" x14ac:dyDescent="0.25">
      <c r="A1" s="16" t="s">
        <v>75</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2" spans="1:30"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row>
    <row r="3" spans="1:30"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row>
    <row r="4" spans="1:30" x14ac:dyDescent="0.2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row>
    <row r="5" spans="1:30"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row>
    <row r="6" spans="1:30" x14ac:dyDescent="0.2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row>
    <row r="7" spans="1:30" x14ac:dyDescent="0.25">
      <c r="A7" s="16"/>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row>
    <row r="8" spans="1:30" x14ac:dyDescent="0.25">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0" ht="15" customHeight="1" x14ac:dyDescent="0.25">
      <c r="A9" s="9"/>
      <c r="B9" s="9"/>
      <c r="C9" s="9"/>
      <c r="D9" s="9"/>
      <c r="E9" s="9"/>
      <c r="F9" s="13"/>
      <c r="G9" s="14"/>
      <c r="H9" s="14"/>
      <c r="I9" s="14"/>
      <c r="J9" s="14"/>
      <c r="K9" s="11"/>
      <c r="L9" s="12"/>
      <c r="M9" s="13"/>
      <c r="N9" s="14"/>
      <c r="O9" s="14"/>
      <c r="P9" s="14"/>
      <c r="Q9" s="14"/>
      <c r="R9" s="14"/>
      <c r="S9" s="9"/>
      <c r="T9" s="9"/>
      <c r="U9" s="9"/>
      <c r="V9" s="9"/>
      <c r="W9" s="9"/>
      <c r="X9" s="9"/>
      <c r="Y9" s="9"/>
      <c r="Z9" s="9"/>
      <c r="AA9" s="9"/>
      <c r="AB9" s="9"/>
      <c r="AC9" s="9"/>
      <c r="AD9" s="9"/>
    </row>
    <row r="10" spans="1:30" ht="15" customHeight="1" x14ac:dyDescent="0.25">
      <c r="A10" s="10"/>
      <c r="B10" s="10"/>
      <c r="C10" s="10"/>
      <c r="D10" s="10"/>
      <c r="E10" s="10"/>
      <c r="F10" s="18" t="s">
        <v>76</v>
      </c>
      <c r="G10" s="18"/>
      <c r="H10" s="18"/>
      <c r="I10" s="18"/>
      <c r="J10" s="18"/>
      <c r="K10" s="18"/>
      <c r="L10" s="18"/>
      <c r="M10" s="15"/>
      <c r="N10" s="19" t="s">
        <v>78</v>
      </c>
      <c r="O10" s="19"/>
      <c r="P10" s="19"/>
      <c r="Q10" s="19"/>
      <c r="R10" s="19"/>
      <c r="S10" s="19"/>
      <c r="T10" s="19"/>
      <c r="U10" s="19"/>
      <c r="V10" s="10"/>
      <c r="W10" s="20" t="s">
        <v>77</v>
      </c>
      <c r="X10" s="20"/>
      <c r="Y10" s="20"/>
      <c r="Z10" s="20"/>
      <c r="AA10" s="20"/>
      <c r="AB10" s="20"/>
      <c r="AC10" s="20"/>
      <c r="AD10" s="10"/>
    </row>
    <row r="11" spans="1:30" ht="15" customHeight="1" x14ac:dyDescent="0.25">
      <c r="A11" s="10"/>
      <c r="B11" s="10"/>
      <c r="C11" s="10"/>
      <c r="D11" s="10"/>
      <c r="E11" s="10"/>
      <c r="F11" s="18"/>
      <c r="G11" s="18"/>
      <c r="H11" s="18"/>
      <c r="I11" s="18"/>
      <c r="J11" s="18"/>
      <c r="K11" s="18"/>
      <c r="L11" s="18"/>
      <c r="M11" s="15"/>
      <c r="N11" s="19"/>
      <c r="O11" s="19"/>
      <c r="P11" s="19"/>
      <c r="Q11" s="19"/>
      <c r="R11" s="19"/>
      <c r="S11" s="19"/>
      <c r="T11" s="19"/>
      <c r="U11" s="19"/>
      <c r="V11" s="10"/>
      <c r="W11" s="20"/>
      <c r="X11" s="20"/>
      <c r="Y11" s="20"/>
      <c r="Z11" s="20"/>
      <c r="AA11" s="20"/>
      <c r="AB11" s="20"/>
      <c r="AC11" s="20"/>
      <c r="AD11" s="10"/>
    </row>
    <row r="12" spans="1:30" ht="15" customHeight="1" x14ac:dyDescent="0.25">
      <c r="A12" s="10"/>
      <c r="B12" s="10"/>
      <c r="C12" s="10"/>
      <c r="D12" s="10"/>
      <c r="E12" s="10"/>
      <c r="F12" s="18"/>
      <c r="G12" s="18"/>
      <c r="H12" s="18"/>
      <c r="I12" s="18"/>
      <c r="J12" s="18"/>
      <c r="K12" s="18"/>
      <c r="L12" s="18"/>
      <c r="M12" s="15"/>
      <c r="N12" s="19"/>
      <c r="O12" s="19"/>
      <c r="P12" s="19"/>
      <c r="Q12" s="19"/>
      <c r="R12" s="19"/>
      <c r="S12" s="19"/>
      <c r="T12" s="19"/>
      <c r="U12" s="19"/>
      <c r="V12" s="10"/>
      <c r="W12" s="20"/>
      <c r="X12" s="20"/>
      <c r="Y12" s="20"/>
      <c r="Z12" s="20"/>
      <c r="AA12" s="20"/>
      <c r="AB12" s="20"/>
      <c r="AC12" s="20"/>
      <c r="AD12" s="10"/>
    </row>
    <row r="13" spans="1:30" x14ac:dyDescent="0.25">
      <c r="A13" s="10"/>
      <c r="B13" s="10"/>
      <c r="C13" s="10"/>
      <c r="D13" s="10"/>
      <c r="E13" s="10"/>
      <c r="F13" s="18"/>
      <c r="G13" s="18"/>
      <c r="H13" s="18"/>
      <c r="I13" s="18"/>
      <c r="J13" s="18"/>
      <c r="K13" s="18"/>
      <c r="L13" s="18"/>
      <c r="M13" s="10"/>
      <c r="N13" s="19"/>
      <c r="O13" s="19"/>
      <c r="P13" s="19"/>
      <c r="Q13" s="19"/>
      <c r="R13" s="19"/>
      <c r="S13" s="19"/>
      <c r="T13" s="19"/>
      <c r="U13" s="19"/>
      <c r="V13" s="10"/>
      <c r="W13" s="20"/>
      <c r="X13" s="20"/>
      <c r="Y13" s="20"/>
      <c r="Z13" s="20"/>
      <c r="AA13" s="20"/>
      <c r="AB13" s="20"/>
      <c r="AC13" s="20"/>
      <c r="AD13" s="10"/>
    </row>
    <row r="14" spans="1:30"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row>
    <row r="15" spans="1:30" x14ac:dyDescent="0.2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row>
    <row r="16" spans="1:30" x14ac:dyDescent="0.25">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row>
    <row r="17" spans="1:30" x14ac:dyDescent="0.25">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row>
    <row r="18" spans="1:30" x14ac:dyDescent="0.25">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row>
    <row r="19" spans="1:30" x14ac:dyDescent="0.25">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row>
    <row r="20" spans="1:30"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row>
    <row r="21" spans="1:30" x14ac:dyDescent="0.25">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row>
    <row r="22" spans="1:30" x14ac:dyDescent="0.25">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row>
    <row r="23" spans="1:30"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row>
    <row r="24" spans="1:30"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row>
    <row r="25" spans="1:30"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row>
    <row r="26" spans="1:30"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row>
    <row r="27" spans="1:30"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row>
    <row r="28" spans="1:30"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row>
    <row r="29" spans="1:30"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row>
    <row r="30" spans="1:30"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row>
    <row r="31" spans="1:30" x14ac:dyDescent="0.25">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row>
    <row r="32" spans="1:30"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row>
    <row r="33" spans="1:30" x14ac:dyDescent="0.25">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row>
    <row r="34" spans="1:30"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row>
    <row r="35" spans="1:30"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row>
    <row r="36" spans="1:30" x14ac:dyDescent="0.25">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row>
    <row r="37" spans="1:30" x14ac:dyDescent="0.25">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row>
    <row r="38" spans="1:30" x14ac:dyDescent="0.25">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row>
    <row r="39" spans="1:30" x14ac:dyDescent="0.25">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row>
    <row r="40" spans="1:30" x14ac:dyDescent="0.25">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row>
    <row r="41" spans="1:30" x14ac:dyDescent="0.25">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row>
    <row r="42" spans="1:30" x14ac:dyDescent="0.25">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row>
    <row r="43" spans="1:30" x14ac:dyDescent="0.25">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row>
    <row r="44" spans="1:30" x14ac:dyDescent="0.25">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row>
    <row r="45" spans="1:30" x14ac:dyDescent="0.2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row>
    <row r="46" spans="1:30" x14ac:dyDescent="0.25">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row>
    <row r="47" spans="1:30" x14ac:dyDescent="0.25">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row>
    <row r="48" spans="1:30" x14ac:dyDescent="0.25">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row>
    <row r="49" spans="1:30" x14ac:dyDescent="0.25">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row>
    <row r="50" spans="1:30" x14ac:dyDescent="0.2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row>
    <row r="51" spans="1:30"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row>
    <row r="52" spans="1:30" x14ac:dyDescent="0.2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row>
    <row r="53" spans="1:30"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row>
    <row r="54" spans="1:30"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row>
    <row r="55" spans="1:30"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row>
    <row r="56" spans="1:30"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row>
    <row r="57" spans="1:30"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row>
    <row r="58" spans="1:30"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row>
    <row r="59" spans="1:30"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row>
    <row r="60" spans="1:30"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row>
    <row r="61" spans="1:30"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row>
    <row r="62" spans="1:30" x14ac:dyDescent="0.25"/>
    <row r="65" customFormat="1" hidden="1" x14ac:dyDescent="0.25"/>
    <row r="66" customFormat="1" hidden="1" x14ac:dyDescent="0.25"/>
    <row r="67" customFormat="1" hidden="1" x14ac:dyDescent="0.25"/>
    <row r="68" customFormat="1" hidden="1" x14ac:dyDescent="0.25"/>
  </sheetData>
  <mergeCells count="4">
    <mergeCell ref="A1:AD8"/>
    <mergeCell ref="F10:L13"/>
    <mergeCell ref="N10:U13"/>
    <mergeCell ref="W10:AC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Class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Narendra</dc:creator>
  <cp:lastModifiedBy>pedhadavarun@gmail.com</cp:lastModifiedBy>
  <cp:lastPrinted>2024-11-04T08:13:22Z</cp:lastPrinted>
  <dcterms:created xsi:type="dcterms:W3CDTF">2015-06-05T18:17:20Z</dcterms:created>
  <dcterms:modified xsi:type="dcterms:W3CDTF">2026-07-13T11:59:21Z</dcterms:modified>
</cp:coreProperties>
</file>